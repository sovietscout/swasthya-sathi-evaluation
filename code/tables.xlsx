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2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3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cademics\Coursework\Assignments\Sem-5\ZH-1 (Practical - Swasthya Sathi)\Analysis\"/>
    </mc:Choice>
  </mc:AlternateContent>
  <xr:revisionPtr revIDLastSave="0" documentId="13_ncr:1_{97C37FFC-A696-43DA-BBB3-B70E63F4E884}" xr6:coauthVersionLast="47" xr6:coauthVersionMax="47" xr10:uidLastSave="{00000000-0000-0000-0000-000000000000}"/>
  <bookViews>
    <workbookView xWindow="-108" yWindow="-108" windowWidth="23256" windowHeight="12456" xr2:uid="{8B1E34FF-797F-4A4F-95A4-5004F3544FA6}"/>
  </bookViews>
  <sheets>
    <sheet name="demography" sheetId="1" r:id="rId1"/>
    <sheet name="formated" sheetId="6" r:id="rId2"/>
    <sheet name="enrolment" sheetId="2" r:id="rId3"/>
    <sheet name="awareness" sheetId="3" r:id="rId4"/>
    <sheet name="hospitalisation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7" i="6" l="1"/>
  <c r="C50" i="6"/>
  <c r="E56" i="1"/>
  <c r="E57" i="1"/>
  <c r="E55" i="1"/>
  <c r="C56" i="1"/>
  <c r="C57" i="1"/>
  <c r="C55" i="1"/>
  <c r="C53" i="1"/>
  <c r="C52" i="1"/>
  <c r="E53" i="1"/>
  <c r="E52" i="1"/>
  <c r="E43" i="1"/>
  <c r="E44" i="1"/>
  <c r="E45" i="1"/>
  <c r="E46" i="1"/>
  <c r="E47" i="1"/>
  <c r="E48" i="1"/>
  <c r="E49" i="1"/>
  <c r="E50" i="1"/>
  <c r="E42" i="1"/>
  <c r="C43" i="1"/>
  <c r="C44" i="1"/>
  <c r="C45" i="1"/>
  <c r="C46" i="1"/>
  <c r="C47" i="1"/>
  <c r="C48" i="1"/>
  <c r="C49" i="1"/>
  <c r="C50" i="1"/>
  <c r="C42" i="1"/>
  <c r="E34" i="1"/>
  <c r="E35" i="1"/>
  <c r="E33" i="1"/>
  <c r="C34" i="1"/>
  <c r="C35" i="1"/>
  <c r="C33" i="1"/>
  <c r="E38" i="1"/>
  <c r="E39" i="1"/>
  <c r="E40" i="1"/>
  <c r="E37" i="1"/>
  <c r="C38" i="1"/>
  <c r="C39" i="1"/>
  <c r="C40" i="1"/>
  <c r="C37" i="1"/>
  <c r="E6" i="1"/>
  <c r="E7" i="1"/>
  <c r="E9" i="1"/>
  <c r="E10" i="1"/>
  <c r="E11" i="1"/>
  <c r="E12" i="1"/>
  <c r="E13" i="1"/>
  <c r="E15" i="1"/>
  <c r="E16" i="1"/>
  <c r="E17" i="1"/>
  <c r="E18" i="1"/>
  <c r="E20" i="1"/>
  <c r="E21" i="1"/>
  <c r="E22" i="1"/>
  <c r="E23" i="1"/>
  <c r="E24" i="1"/>
  <c r="E25" i="1"/>
  <c r="E26" i="1"/>
  <c r="E27" i="1"/>
  <c r="E29" i="1"/>
  <c r="E30" i="1"/>
  <c r="E31" i="1"/>
  <c r="E4" i="1"/>
  <c r="E3" i="1"/>
  <c r="C30" i="1"/>
  <c r="C31" i="1"/>
  <c r="C29" i="1"/>
  <c r="C21" i="1"/>
  <c r="C22" i="1"/>
  <c r="C23" i="1"/>
  <c r="C24" i="1"/>
  <c r="C25" i="1"/>
  <c r="C26" i="1"/>
  <c r="C27" i="1"/>
  <c r="C20" i="1"/>
  <c r="C16" i="1"/>
  <c r="C17" i="1"/>
  <c r="C18" i="1"/>
  <c r="C15" i="1"/>
  <c r="C13" i="1"/>
  <c r="C10" i="1"/>
  <c r="C11" i="1"/>
  <c r="C12" i="1"/>
  <c r="C9" i="1"/>
  <c r="C7" i="1"/>
  <c r="C6" i="1"/>
  <c r="C4" i="1"/>
  <c r="C3" i="1"/>
</calcChain>
</file>

<file path=xl/sharedStrings.xml><?xml version="1.0" encoding="utf-8"?>
<sst xmlns="http://schemas.openxmlformats.org/spreadsheetml/2006/main" count="239" uniqueCount="154">
  <si>
    <t>Male</t>
  </si>
  <si>
    <t>Female</t>
  </si>
  <si>
    <t>Total</t>
  </si>
  <si>
    <t>Demographic Variable</t>
  </si>
  <si>
    <t>Hindu</t>
  </si>
  <si>
    <t>Muslim</t>
  </si>
  <si>
    <t>Caste</t>
  </si>
  <si>
    <t>General</t>
  </si>
  <si>
    <t>Other Backward Class (OBC)</t>
  </si>
  <si>
    <t>Scheduled Caste (SC)</t>
  </si>
  <si>
    <t>Scheduled Tribe (ST)</t>
  </si>
  <si>
    <t>Marital Status</t>
  </si>
  <si>
    <t>Married</t>
  </si>
  <si>
    <t>Unmarried</t>
  </si>
  <si>
    <t>Widowed</t>
  </si>
  <si>
    <t>Separated</t>
  </si>
  <si>
    <t>(No Response)</t>
  </si>
  <si>
    <t>Educational Qualification</t>
  </si>
  <si>
    <t>Without SS Card (%)</t>
  </si>
  <si>
    <t>With SS Card (%)</t>
  </si>
  <si>
    <t>No Formal Education</t>
  </si>
  <si>
    <t>Below Primary</t>
  </si>
  <si>
    <t>Completed Primary</t>
  </si>
  <si>
    <t>Secondary</t>
  </si>
  <si>
    <t>Higher Secondary</t>
  </si>
  <si>
    <t>Graduate</t>
  </si>
  <si>
    <t>Post Graduate</t>
  </si>
  <si>
    <t>Four</t>
  </si>
  <si>
    <t>More than Four</t>
  </si>
  <si>
    <t>Less than Four</t>
  </si>
  <si>
    <t>Sex</t>
  </si>
  <si>
    <t>Source</t>
  </si>
  <si>
    <t>Government</t>
  </si>
  <si>
    <t>Party Worker</t>
  </si>
  <si>
    <t>Newspaper</t>
  </si>
  <si>
    <t>Television</t>
  </si>
  <si>
    <t>Others</t>
  </si>
  <si>
    <t>Don't Know</t>
  </si>
  <si>
    <t>Proportion</t>
  </si>
  <si>
    <t>Pie</t>
  </si>
  <si>
    <t>Friend and Relatives</t>
  </si>
  <si>
    <t>Enrolment</t>
  </si>
  <si>
    <t>Duare Sarkar</t>
  </si>
  <si>
    <t>Online or Mobile app</t>
  </si>
  <si>
    <t>Less than 1 hour</t>
  </si>
  <si>
    <t>1-2 hours</t>
  </si>
  <si>
    <t>2-3 hours</t>
  </si>
  <si>
    <t>3-4 hours</t>
  </si>
  <si>
    <t>Online</t>
  </si>
  <si>
    <t>Enrolment Duration</t>
  </si>
  <si>
    <t>More than 4 hours</t>
  </si>
  <si>
    <t>Occupation</t>
  </si>
  <si>
    <t>Salaried</t>
  </si>
  <si>
    <t>Service/Self-employed</t>
  </si>
  <si>
    <t>Informal</t>
  </si>
  <si>
    <t>Home-maker</t>
  </si>
  <si>
    <t>Religion</t>
  </si>
  <si>
    <t>Proportion (%)</t>
  </si>
  <si>
    <t>Family Size</t>
  </si>
  <si>
    <t>Aged Members</t>
  </si>
  <si>
    <t>One</t>
  </si>
  <si>
    <t>None</t>
  </si>
  <si>
    <t>Two or more</t>
  </si>
  <si>
    <t>Household Income</t>
  </si>
  <si>
    <t>0 - 5,000</t>
  </si>
  <si>
    <t>5,001 - 10,000</t>
  </si>
  <si>
    <t>10,001 - 15,000</t>
  </si>
  <si>
    <t>15,001 - 20,000</t>
  </si>
  <si>
    <t>20,001 - 25,000</t>
  </si>
  <si>
    <t>25,001 - 35,000</t>
  </si>
  <si>
    <t>35,001 - 50,000</t>
  </si>
  <si>
    <t>50,001 - 1,00,000</t>
  </si>
  <si>
    <t>Earning Members</t>
  </si>
  <si>
    <t>At most one</t>
  </si>
  <si>
    <t>BPL card-holders</t>
  </si>
  <si>
    <t>Yes</t>
  </si>
  <si>
    <t>No</t>
  </si>
  <si>
    <t>Likert</t>
  </si>
  <si>
    <t>Emergency Care</t>
  </si>
  <si>
    <t>Hospitalisation</t>
  </si>
  <si>
    <t>Maternity Care</t>
  </si>
  <si>
    <t>OPD Visits</t>
  </si>
  <si>
    <t>National Coverage</t>
  </si>
  <si>
    <t>Male Enrolment</t>
  </si>
  <si>
    <t>Travel Allowance</t>
  </si>
  <si>
    <t xml:space="preserve">            </t>
  </si>
  <si>
    <t>Admission process</t>
  </si>
  <si>
    <t>Treatment process</t>
  </si>
  <si>
    <t>Care taken by doctors</t>
  </si>
  <si>
    <t>Care taken by nurses</t>
  </si>
  <si>
    <t>Release process</t>
  </si>
  <si>
    <t>Overall process</t>
  </si>
  <si>
    <t>Bad (%)</t>
  </si>
  <si>
    <t>Okay (%)</t>
  </si>
  <si>
    <t>Good (%)</t>
  </si>
  <si>
    <t>Access to information</t>
  </si>
  <si>
    <t>Coverage of hospitals</t>
  </si>
  <si>
    <t>Empanelment of doctors</t>
  </si>
  <si>
    <t>Level of financial assistance</t>
  </si>
  <si>
    <t>Total (Proportion)</t>
  </si>
  <si>
    <t>5 (3.88%)</t>
  </si>
  <si>
    <t>124 (96.12%)</t>
  </si>
  <si>
    <t>125 (96.90%)</t>
  </si>
  <si>
    <t>4 (3.10%)</t>
  </si>
  <si>
    <t>85 (65.89%)</t>
  </si>
  <si>
    <t>26 (20.16%)</t>
  </si>
  <si>
    <t>13 (10.08%)</t>
  </si>
  <si>
    <t>12 (9.30%)</t>
  </si>
  <si>
    <t>115 (89.15%)</t>
  </si>
  <si>
    <t>10 (7.75%)</t>
  </si>
  <si>
    <t>3 (2.33%)</t>
  </si>
  <si>
    <t>1 (0.78%)</t>
  </si>
  <si>
    <t>8 (6.20%)</t>
  </si>
  <si>
    <t>27 (20.93%)</t>
  </si>
  <si>
    <t>40 (31.01%)</t>
  </si>
  <si>
    <t>19 (14.73%)</t>
  </si>
  <si>
    <t>Postgraduate</t>
  </si>
  <si>
    <t>2 (1.55%)</t>
  </si>
  <si>
    <t>50 (38.76%)</t>
  </si>
  <si>
    <t>43 (33.33%)</t>
  </si>
  <si>
    <t>36 (27.91%)</t>
  </si>
  <si>
    <t>76 (58.91%)</t>
  </si>
  <si>
    <t>45 (34.88%)</t>
  </si>
  <si>
    <t>11 (8.53%)</t>
  </si>
  <si>
    <t>15 (11.63%)</t>
  </si>
  <si>
    <t>28 (21.71%)</t>
  </si>
  <si>
    <t>75 (58.14%)</t>
  </si>
  <si>
    <t>9 (6.98%)</t>
  </si>
  <si>
    <t>22 (17.05%)</t>
  </si>
  <si>
    <t>32 (24.81%)</t>
  </si>
  <si>
    <t>18 (13.95%)</t>
  </si>
  <si>
    <t>14 (10.85%)</t>
  </si>
  <si>
    <t>6 (4.65%)</t>
  </si>
  <si>
    <t>73 (56.59%)</t>
  </si>
  <si>
    <t>56 (43.41%)</t>
  </si>
  <si>
    <t>BPL Cardholders</t>
  </si>
  <si>
    <t>84 (65.12%)</t>
  </si>
  <si>
    <t>Reason for Not Enrolling into Swasthya Sathi</t>
  </si>
  <si>
    <t>Frequency</t>
  </si>
  <si>
    <t>Percent of Cases</t>
  </si>
  <si>
    <t>Difficulty in Enrolment Process</t>
  </si>
  <si>
    <t>Lack of Necessary Documents</t>
  </si>
  <si>
    <t>No Need for Government Medical Insurance</t>
  </si>
  <si>
    <t>Dislike Empanelled Hospitals</t>
  </si>
  <si>
    <t>Reason for Not Using the Scheme</t>
  </si>
  <si>
    <t>Unaware of Benefits</t>
  </si>
  <si>
    <t>Treatment Place Not Empanelled</t>
  </si>
  <si>
    <t>Doctor Not Empanelled</t>
  </si>
  <si>
    <t>Had Health Insurance</t>
  </si>
  <si>
    <t>Forgot About the Card</t>
  </si>
  <si>
    <t>Other Reason</t>
  </si>
  <si>
    <t>Concerns About Quality of Care</t>
  </si>
  <si>
    <t>Registered Under Another Health Scheme</t>
  </si>
  <si>
    <t>Hospitals/doctors Not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</si>
</sst>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i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b/>
      <sz val="11"/>
      <color theme="1"/>
      <name val="EB Garamond bold"/>
    </font>
    <font>
      <b/>
      <i/>
      <sz val="11"/>
      <color theme="1"/>
      <name val="EB Garamond SemiBold"/>
    </font>
    <font>
      <sz val="11"/>
      <color theme="1"/>
      <name val="EB Garamond Semi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0" fillId="0" borderId="0" xfId="0" applyAlignment="1">
      <alignment horizontal="left" indent="2"/>
    </xf>
    <xf numFmtId="1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10" fontId="0" fillId="0" borderId="0" xfId="1" applyNumberFormat="1" applyFont="1"/>
    <xf numFmtId="3" fontId="0" fillId="0" borderId="0" xfId="0" applyNumberFormat="1" applyAlignment="1">
      <alignment horizontal="left" indent="2"/>
    </xf>
    <xf numFmtId="3" fontId="0" fillId="0" borderId="0" xfId="0" applyNumberFormat="1" applyAlignment="1">
      <alignment horizontal="left"/>
    </xf>
    <xf numFmtId="0" fontId="3" fillId="0" borderId="0" xfId="0" applyFont="1" applyAlignment="1">
      <alignment horizontal="justify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 wrapText="1"/>
    </xf>
    <xf numFmtId="10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right"/>
    </xf>
    <xf numFmtId="10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0" fontId="6" fillId="0" borderId="0" xfId="0" applyNumberFormat="1" applyFont="1"/>
    <xf numFmtId="3" fontId="6" fillId="0" borderId="0" xfId="0" applyNumberFormat="1" applyFont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3BADEF"/>
      <color rgb="FFEF9C1F"/>
      <color rgb="FFEA5543"/>
      <color rgb="FFEDBE30"/>
      <color rgb="FF85BB44"/>
      <color rgb="FFF67E6D"/>
      <color rgb="FFB43DC7"/>
      <color rgb="FFBCCF31"/>
      <color rgb="FF7CAE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Helvetica World" panose="020B0500040000020004" pitchFamily="34" charset="0"/>
              </a:rPr>
              <a:t>Enrolment by </a:t>
            </a:r>
            <a:r>
              <a:rPr lang="en-IN" baseline="0"/>
              <a:t>Sex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demography!$B$1</c:f>
              <c:strCache>
                <c:ptCount val="1"/>
                <c:pt idx="0">
                  <c:v>With SS Card (%)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demography!$A$3:$A$4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demography!$B$3:$B$4</c:f>
              <c:numCache>
                <c:formatCode>0.00%</c:formatCode>
                <c:ptCount val="2"/>
                <c:pt idx="0">
                  <c:v>0.8</c:v>
                </c:pt>
                <c:pt idx="1">
                  <c:v>0.8387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10-4C62-9D9F-05BCB2520436}"/>
            </c:ext>
          </c:extLst>
        </c:ser>
        <c:ser>
          <c:idx val="1"/>
          <c:order val="1"/>
          <c:tx>
            <c:strRef>
              <c:f>demography!$C$1</c:f>
              <c:strCache>
                <c:ptCount val="1"/>
                <c:pt idx="0">
                  <c:v>Without SS Card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demography!$A$3:$A$4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demography!$C$3:$C$4</c:f>
              <c:numCache>
                <c:formatCode>0.00%</c:formatCode>
                <c:ptCount val="2"/>
                <c:pt idx="0">
                  <c:v>0.19999999999999996</c:v>
                </c:pt>
                <c:pt idx="1">
                  <c:v>0.1613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10-4C62-9D9F-05BCB252043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0435631"/>
        <c:axId val="2000437551"/>
      </c:barChart>
      <c:catAx>
        <c:axId val="20004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2000437551"/>
        <c:crosses val="autoZero"/>
        <c:auto val="1"/>
        <c:lblAlgn val="ctr"/>
        <c:lblOffset val="100"/>
        <c:noMultiLvlLbl val="0"/>
      </c:catAx>
      <c:valAx>
        <c:axId val="2000437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004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/>
              <a:t>Enrolment</a:t>
            </a:r>
            <a:r>
              <a:rPr lang="en-IN" baseline="0"/>
              <a:t> by Religion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demography!$B$1</c:f>
              <c:strCache>
                <c:ptCount val="1"/>
                <c:pt idx="0">
                  <c:v>With SS Card (%)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demography!$A$6:$A$7</c:f>
              <c:strCache>
                <c:ptCount val="2"/>
                <c:pt idx="0">
                  <c:v>Hindu</c:v>
                </c:pt>
                <c:pt idx="1">
                  <c:v>Muslim</c:v>
                </c:pt>
              </c:strCache>
            </c:strRef>
          </c:cat>
          <c:val>
            <c:numRef>
              <c:f>demography!$B$6:$B$7</c:f>
              <c:numCache>
                <c:formatCode>0.00%</c:formatCode>
                <c:ptCount val="2"/>
                <c:pt idx="0">
                  <c:v>0.84799999999999998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45-4B47-9E0C-E84D92BC32D6}"/>
            </c:ext>
          </c:extLst>
        </c:ser>
        <c:ser>
          <c:idx val="1"/>
          <c:order val="1"/>
          <c:tx>
            <c:strRef>
              <c:f>demography!$C$1</c:f>
              <c:strCache>
                <c:ptCount val="1"/>
                <c:pt idx="0">
                  <c:v>Without SS Card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demography!$A$6:$A$7</c:f>
              <c:strCache>
                <c:ptCount val="2"/>
                <c:pt idx="0">
                  <c:v>Hindu</c:v>
                </c:pt>
                <c:pt idx="1">
                  <c:v>Muslim</c:v>
                </c:pt>
              </c:strCache>
            </c:strRef>
          </c:cat>
          <c:val>
            <c:numRef>
              <c:f>demography!$C$6:$C$7</c:f>
              <c:numCache>
                <c:formatCode>0.00%</c:formatCode>
                <c:ptCount val="2"/>
                <c:pt idx="0">
                  <c:v>0.15200000000000002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45-4B47-9E0C-E84D92BC32D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0435631"/>
        <c:axId val="2000437551"/>
      </c:barChart>
      <c:catAx>
        <c:axId val="20004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2000437551"/>
        <c:crosses val="autoZero"/>
        <c:auto val="1"/>
        <c:lblAlgn val="ctr"/>
        <c:lblOffset val="100"/>
        <c:noMultiLvlLbl val="0"/>
      </c:catAx>
      <c:valAx>
        <c:axId val="2000437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004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/>
              <a:t>Enrolment </a:t>
            </a:r>
            <a:r>
              <a:rPr lang="en-IN" baseline="0"/>
              <a:t>by Caste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demography!$B$1</c:f>
              <c:strCache>
                <c:ptCount val="1"/>
                <c:pt idx="0">
                  <c:v>With SS Card (%)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demography!$A$9:$A$13</c:f>
              <c:strCache>
                <c:ptCount val="5"/>
                <c:pt idx="0">
                  <c:v>General</c:v>
                </c:pt>
                <c:pt idx="1">
                  <c:v>Other Backward Class (OBC)</c:v>
                </c:pt>
                <c:pt idx="2">
                  <c:v>Scheduled Caste (SC)</c:v>
                </c:pt>
                <c:pt idx="3">
                  <c:v>Scheduled Tribe (ST)</c:v>
                </c:pt>
                <c:pt idx="4">
                  <c:v>(No Response)</c:v>
                </c:pt>
              </c:strCache>
            </c:strRef>
          </c:cat>
          <c:val>
            <c:numRef>
              <c:f>demography!$B$9:$B$13</c:f>
              <c:numCache>
                <c:formatCode>0.00%</c:formatCode>
                <c:ptCount val="5"/>
                <c:pt idx="0">
                  <c:v>0.83530000000000004</c:v>
                </c:pt>
                <c:pt idx="1">
                  <c:v>0.83330000000000004</c:v>
                </c:pt>
                <c:pt idx="2">
                  <c:v>0.88460000000000005</c:v>
                </c:pt>
                <c:pt idx="3">
                  <c:v>0.66669999999999996</c:v>
                </c:pt>
                <c:pt idx="4">
                  <c:v>0.66669999999999996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9-43A3-9D2A-743DAD429D60}"/>
            </c:ext>
          </c:extLst>
        </c:ser>
        <c:ser>
          <c:idx val="1"/>
          <c:order val="1"/>
          <c:tx>
            <c:strRef>
              <c:f>demography!$C$1</c:f>
              <c:strCache>
                <c:ptCount val="1"/>
                <c:pt idx="0">
                  <c:v>Without SS Card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demography!$A$9:$A$13</c:f>
              <c:strCache>
                <c:ptCount val="5"/>
                <c:pt idx="0">
                  <c:v>General</c:v>
                </c:pt>
                <c:pt idx="1">
                  <c:v>Other Backward Class (OBC)</c:v>
                </c:pt>
                <c:pt idx="2">
                  <c:v>Scheduled Caste (SC)</c:v>
                </c:pt>
                <c:pt idx="3">
                  <c:v>Scheduled Tribe (ST)</c:v>
                </c:pt>
                <c:pt idx="4">
                  <c:v>(No Response)</c:v>
                </c:pt>
              </c:strCache>
            </c:strRef>
          </c:cat>
          <c:val>
            <c:numRef>
              <c:f>demography!$C$9:$C$13</c:f>
              <c:numCache>
                <c:formatCode>0.00%</c:formatCode>
                <c:ptCount val="5"/>
                <c:pt idx="0">
                  <c:v>0.16469999999999996</c:v>
                </c:pt>
                <c:pt idx="1">
                  <c:v>0.16669999999999996</c:v>
                </c:pt>
                <c:pt idx="2">
                  <c:v>0.11539999999999995</c:v>
                </c:pt>
                <c:pt idx="3">
                  <c:v>0.33330000000000004</c:v>
                </c:pt>
                <c:pt idx="4">
                  <c:v>0.33330000000000004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29-43A3-9D2A-743DAD429D6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0435631"/>
        <c:axId val="2000437551"/>
      </c:barChart>
      <c:catAx>
        <c:axId val="20004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2000437551"/>
        <c:crosses val="autoZero"/>
        <c:auto val="1"/>
        <c:lblAlgn val="ctr"/>
        <c:lblOffset val="100"/>
        <c:noMultiLvlLbl val="0"/>
      </c:catAx>
      <c:valAx>
        <c:axId val="2000437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004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/>
              <a:t>Enrolment </a:t>
            </a:r>
            <a:r>
              <a:rPr lang="en-IN" baseline="0"/>
              <a:t>by Marital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demography!$B$1</c:f>
              <c:strCache>
                <c:ptCount val="1"/>
                <c:pt idx="0">
                  <c:v>With SS Card (%)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demography!$A$15:$A$18</c:f>
              <c:strCache>
                <c:ptCount val="4"/>
                <c:pt idx="0">
                  <c:v>Married</c:v>
                </c:pt>
                <c:pt idx="1">
                  <c:v>Unmarried</c:v>
                </c:pt>
                <c:pt idx="2">
                  <c:v>Widowed</c:v>
                </c:pt>
                <c:pt idx="3">
                  <c:v>Separated</c:v>
                </c:pt>
              </c:strCache>
            </c:strRef>
          </c:cat>
          <c:val>
            <c:numRef>
              <c:f>demography!$B$15:$B$18</c:f>
              <c:numCache>
                <c:formatCode>0.00%</c:formatCode>
                <c:ptCount val="4"/>
                <c:pt idx="0">
                  <c:v>0.83479999999999999</c:v>
                </c:pt>
                <c:pt idx="1">
                  <c:v>0.66669999999999996</c:v>
                </c:pt>
                <c:pt idx="2">
                  <c:v>0.9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A-48BF-A6B6-1A0B3385D92B}"/>
            </c:ext>
          </c:extLst>
        </c:ser>
        <c:ser>
          <c:idx val="1"/>
          <c:order val="1"/>
          <c:tx>
            <c:strRef>
              <c:f>demography!$C$1</c:f>
              <c:strCache>
                <c:ptCount val="1"/>
                <c:pt idx="0">
                  <c:v>Without SS Card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numFmt formatCode="0.00%;\-0.00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demography!$A$15:$A$18</c:f>
              <c:strCache>
                <c:ptCount val="4"/>
                <c:pt idx="0">
                  <c:v>Married</c:v>
                </c:pt>
                <c:pt idx="1">
                  <c:v>Unmarried</c:v>
                </c:pt>
                <c:pt idx="2">
                  <c:v>Widowed</c:v>
                </c:pt>
                <c:pt idx="3">
                  <c:v>Separated</c:v>
                </c:pt>
              </c:strCache>
            </c:strRef>
          </c:cat>
          <c:val>
            <c:numRef>
              <c:f>demography!$C$15:$C$18</c:f>
              <c:numCache>
                <c:formatCode>0.00%</c:formatCode>
                <c:ptCount val="4"/>
                <c:pt idx="0">
                  <c:v>0.16520000000000001</c:v>
                </c:pt>
                <c:pt idx="1">
                  <c:v>0.33330000000000004</c:v>
                </c:pt>
                <c:pt idx="2">
                  <c:v>9.9999999999999978E-2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A-48BF-A6B6-1A0B3385D9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0435631"/>
        <c:axId val="2000437551"/>
      </c:barChart>
      <c:catAx>
        <c:axId val="20004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2000437551"/>
        <c:crosses val="autoZero"/>
        <c:auto val="1"/>
        <c:lblAlgn val="ctr"/>
        <c:lblOffset val="100"/>
        <c:noMultiLvlLbl val="0"/>
      </c:catAx>
      <c:valAx>
        <c:axId val="2000437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004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/>
              <a:t>Enrolment by Family 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demography!$B$1</c:f>
              <c:strCache>
                <c:ptCount val="1"/>
                <c:pt idx="0">
                  <c:v>With SS Card (%)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demography!$A$29:$A$31</c:f>
              <c:strCache>
                <c:ptCount val="3"/>
                <c:pt idx="0">
                  <c:v>Less than Four</c:v>
                </c:pt>
                <c:pt idx="1">
                  <c:v>Four</c:v>
                </c:pt>
                <c:pt idx="2">
                  <c:v>More than Four</c:v>
                </c:pt>
              </c:strCache>
            </c:strRef>
          </c:cat>
          <c:val>
            <c:numRef>
              <c:f>demography!$B$29:$B$31</c:f>
              <c:numCache>
                <c:formatCode>0.00%</c:formatCode>
                <c:ptCount val="3"/>
                <c:pt idx="0">
                  <c:v>0.74</c:v>
                </c:pt>
                <c:pt idx="1">
                  <c:v>0.86050000000000004</c:v>
                </c:pt>
                <c:pt idx="2">
                  <c:v>0.94440000000000002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37-4DCD-815C-ADDBE255705E}"/>
            </c:ext>
          </c:extLst>
        </c:ser>
        <c:ser>
          <c:idx val="1"/>
          <c:order val="1"/>
          <c:tx>
            <c:strRef>
              <c:f>demography!$C$1</c:f>
              <c:strCache>
                <c:ptCount val="1"/>
                <c:pt idx="0">
                  <c:v>Without SS Card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demography!$A$29:$A$31</c:f>
              <c:strCache>
                <c:ptCount val="3"/>
                <c:pt idx="0">
                  <c:v>Less than Four</c:v>
                </c:pt>
                <c:pt idx="1">
                  <c:v>Four</c:v>
                </c:pt>
                <c:pt idx="2">
                  <c:v>More than Four</c:v>
                </c:pt>
              </c:strCache>
            </c:strRef>
          </c:cat>
          <c:val>
            <c:numRef>
              <c:f>demography!$C$29:$C$31</c:f>
              <c:numCache>
                <c:formatCode>0.00%</c:formatCode>
                <c:ptCount val="3"/>
                <c:pt idx="0">
                  <c:v>0.26</c:v>
                </c:pt>
                <c:pt idx="1">
                  <c:v>0.13949999999999996</c:v>
                </c:pt>
                <c:pt idx="2">
                  <c:v>5.5599999999999983E-2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37-4DCD-815C-ADDBE255705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0435631"/>
        <c:axId val="2000437551"/>
      </c:barChart>
      <c:catAx>
        <c:axId val="20004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2000437551"/>
        <c:crosses val="autoZero"/>
        <c:auto val="1"/>
        <c:lblAlgn val="ctr"/>
        <c:lblOffset val="100"/>
        <c:noMultiLvlLbl val="0"/>
      </c:catAx>
      <c:valAx>
        <c:axId val="2000437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004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/>
              <a:t>Enrolment </a:t>
            </a:r>
            <a:r>
              <a:rPr lang="en-IN" baseline="0"/>
              <a:t>by Educational Qualification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demography!$B$1</c:f>
              <c:strCache>
                <c:ptCount val="1"/>
                <c:pt idx="0">
                  <c:v>With SS Card (%)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demography!$A$20:$A$27</c15:sqref>
                  </c15:fullRef>
                </c:ext>
              </c:extLst>
              <c:f>demography!$A$20:$A$23</c:f>
              <c:strCache>
                <c:ptCount val="4"/>
                <c:pt idx="0">
                  <c:v>No Formal Education</c:v>
                </c:pt>
                <c:pt idx="1">
                  <c:v>Below Primary</c:v>
                </c:pt>
                <c:pt idx="2">
                  <c:v>Completed Primary</c:v>
                </c:pt>
                <c:pt idx="3">
                  <c:v>Secondary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demography!$B$20:$B$27</c15:sqref>
                  </c15:fullRef>
                </c:ext>
              </c:extLst>
              <c:f>demography!$B$20:$B$23</c:f>
              <c:numCache>
                <c:formatCode>0.00%</c:formatCode>
                <c:ptCount val="4"/>
                <c:pt idx="0">
                  <c:v>0.75</c:v>
                </c:pt>
                <c:pt idx="1">
                  <c:v>0.75</c:v>
                </c:pt>
                <c:pt idx="2">
                  <c:v>0.92589999999999995</c:v>
                </c:pt>
                <c:pt idx="3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A5-42AB-A2BA-06A1C1B3E03C}"/>
            </c:ext>
          </c:extLst>
        </c:ser>
        <c:ser>
          <c:idx val="1"/>
          <c:order val="1"/>
          <c:tx>
            <c:strRef>
              <c:f>demography!$C$1</c:f>
              <c:strCache>
                <c:ptCount val="1"/>
                <c:pt idx="0">
                  <c:v>Without SS Card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numFmt formatCode="0.00%;\-0.00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demography!$A$20:$A$27</c15:sqref>
                  </c15:fullRef>
                </c:ext>
              </c:extLst>
              <c:f>demography!$A$20:$A$23</c:f>
              <c:strCache>
                <c:ptCount val="4"/>
                <c:pt idx="0">
                  <c:v>No Formal Education</c:v>
                </c:pt>
                <c:pt idx="1">
                  <c:v>Below Primary</c:v>
                </c:pt>
                <c:pt idx="2">
                  <c:v>Completed Primary</c:v>
                </c:pt>
                <c:pt idx="3">
                  <c:v>Secondary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demography!$C$20:$C$27</c15:sqref>
                  </c15:fullRef>
                </c:ext>
              </c:extLst>
              <c:f>demography!$C$20:$C$23</c:f>
              <c:numCache>
                <c:formatCode>0.00%</c:formatCode>
                <c:ptCount val="4"/>
                <c:pt idx="0">
                  <c:v>0.25</c:v>
                </c:pt>
                <c:pt idx="1">
                  <c:v>0.25</c:v>
                </c:pt>
                <c:pt idx="2">
                  <c:v>7.4100000000000055E-2</c:v>
                </c:pt>
                <c:pt idx="3">
                  <c:v>9.9999999999999978E-2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A5-42AB-A2BA-06A1C1B3E03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0435631"/>
        <c:axId val="2000437551"/>
      </c:barChart>
      <c:catAx>
        <c:axId val="20004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2000437551"/>
        <c:crosses val="autoZero"/>
        <c:auto val="1"/>
        <c:lblAlgn val="ctr"/>
        <c:lblOffset val="100"/>
        <c:noMultiLvlLbl val="0"/>
      </c:catAx>
      <c:valAx>
        <c:axId val="2000437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004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demography!$B$1</c:f>
              <c:strCache>
                <c:ptCount val="1"/>
                <c:pt idx="0">
                  <c:v>With SS Card (%)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demography!$A$20:$A$27</c15:sqref>
                  </c15:fullRef>
                </c:ext>
              </c:extLst>
              <c:f>demography!$A$24:$A$27</c:f>
              <c:strCache>
                <c:ptCount val="4"/>
                <c:pt idx="0">
                  <c:v>Higher Secondary</c:v>
                </c:pt>
                <c:pt idx="1">
                  <c:v>Graduate</c:v>
                </c:pt>
                <c:pt idx="2">
                  <c:v>Post Graduate</c:v>
                </c:pt>
                <c:pt idx="3">
                  <c:v>(No Response)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demography!$B$20:$B$27</c15:sqref>
                  </c15:fullRef>
                </c:ext>
              </c:extLst>
              <c:f>demography!$B$24:$B$27</c:f>
              <c:numCache>
                <c:formatCode>0.00%</c:formatCode>
                <c:ptCount val="4"/>
                <c:pt idx="0">
                  <c:v>0.89470000000000005</c:v>
                </c:pt>
                <c:pt idx="1">
                  <c:v>0.63160000000000005</c:v>
                </c:pt>
                <c:pt idx="2">
                  <c:v>0.5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A2-4B30-BBA7-D943EEB08EA0}"/>
            </c:ext>
          </c:extLst>
        </c:ser>
        <c:ser>
          <c:idx val="1"/>
          <c:order val="1"/>
          <c:tx>
            <c:strRef>
              <c:f>demography!$C$1</c:f>
              <c:strCache>
                <c:ptCount val="1"/>
                <c:pt idx="0">
                  <c:v>Without SS Card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numFmt formatCode="0.00%;\-0.00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demography!$A$20:$A$27</c15:sqref>
                  </c15:fullRef>
                </c:ext>
              </c:extLst>
              <c:f>demography!$A$24:$A$27</c:f>
              <c:strCache>
                <c:ptCount val="4"/>
                <c:pt idx="0">
                  <c:v>Higher Secondary</c:v>
                </c:pt>
                <c:pt idx="1">
                  <c:v>Graduate</c:v>
                </c:pt>
                <c:pt idx="2">
                  <c:v>Post Graduate</c:v>
                </c:pt>
                <c:pt idx="3">
                  <c:v>(No Response)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demography!$C$20:$C$27</c15:sqref>
                  </c15:fullRef>
                </c:ext>
              </c:extLst>
              <c:f>demography!$C$24:$C$27</c:f>
              <c:numCache>
                <c:formatCode>0.00%</c:formatCode>
                <c:ptCount val="4"/>
                <c:pt idx="0">
                  <c:v>0.10529999999999995</c:v>
                </c:pt>
                <c:pt idx="1">
                  <c:v>0.36839999999999995</c:v>
                </c:pt>
                <c:pt idx="2">
                  <c:v>0.5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A2-4B30-BBA7-D943EEB08EA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0435631"/>
        <c:axId val="2000437551"/>
      </c:barChart>
      <c:catAx>
        <c:axId val="20004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2000437551"/>
        <c:crosses val="autoZero"/>
        <c:auto val="1"/>
        <c:lblAlgn val="ctr"/>
        <c:lblOffset val="100"/>
        <c:noMultiLvlLbl val="0"/>
      </c:catAx>
      <c:valAx>
        <c:axId val="2000437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00435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/>
              <a:t>Enrolment </a:t>
            </a:r>
            <a:r>
              <a:rPr lang="en-IN" baseline="0"/>
              <a:t>by Occupation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demography!$B$1</c:f>
              <c:strCache>
                <c:ptCount val="1"/>
                <c:pt idx="0">
                  <c:v>With SS Card (%)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demography!$A$37:$A$40</c:f>
              <c:strCache>
                <c:ptCount val="4"/>
                <c:pt idx="0">
                  <c:v>Salaried</c:v>
                </c:pt>
                <c:pt idx="1">
                  <c:v>Service/Self-employed</c:v>
                </c:pt>
                <c:pt idx="2">
                  <c:v>Informal</c:v>
                </c:pt>
                <c:pt idx="3">
                  <c:v>Home-maker</c:v>
                </c:pt>
              </c:strCache>
            </c:strRef>
          </c:cat>
          <c:val>
            <c:numRef>
              <c:f>demography!$B$37:$B$40</c:f>
              <c:numCache>
                <c:formatCode>0.00%</c:formatCode>
                <c:ptCount val="4"/>
                <c:pt idx="0">
                  <c:v>0.90910000000000002</c:v>
                </c:pt>
                <c:pt idx="1">
                  <c:v>0.93330000000000002</c:v>
                </c:pt>
                <c:pt idx="2">
                  <c:v>0.89290000000000003</c:v>
                </c:pt>
                <c:pt idx="3">
                  <c:v>0.78669999999999995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45-47F1-9D48-8529098C8865}"/>
            </c:ext>
          </c:extLst>
        </c:ser>
        <c:ser>
          <c:idx val="1"/>
          <c:order val="1"/>
          <c:tx>
            <c:strRef>
              <c:f>demography!$C$1</c:f>
              <c:strCache>
                <c:ptCount val="1"/>
                <c:pt idx="0">
                  <c:v>Without SS Card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numFmt formatCode="0.00%;\-0.00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demography!$A$37:$A$40</c:f>
              <c:strCache>
                <c:ptCount val="4"/>
                <c:pt idx="0">
                  <c:v>Salaried</c:v>
                </c:pt>
                <c:pt idx="1">
                  <c:v>Service/Self-employed</c:v>
                </c:pt>
                <c:pt idx="2">
                  <c:v>Informal</c:v>
                </c:pt>
                <c:pt idx="3">
                  <c:v>Home-maker</c:v>
                </c:pt>
              </c:strCache>
            </c:strRef>
          </c:cat>
          <c:val>
            <c:numRef>
              <c:f>demography!$C$37:$C$40</c:f>
              <c:numCache>
                <c:formatCode>0.00%</c:formatCode>
                <c:ptCount val="4"/>
                <c:pt idx="0">
                  <c:v>9.0899999999999981E-2</c:v>
                </c:pt>
                <c:pt idx="1">
                  <c:v>6.6699999999999982E-2</c:v>
                </c:pt>
                <c:pt idx="2">
                  <c:v>0.10709999999999997</c:v>
                </c:pt>
                <c:pt idx="3">
                  <c:v>0.21330000000000005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45-47F1-9D48-8529098C886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0435631"/>
        <c:axId val="2000437551"/>
      </c:barChart>
      <c:catAx>
        <c:axId val="20004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2000437551"/>
        <c:crosses val="autoZero"/>
        <c:auto val="1"/>
        <c:lblAlgn val="ctr"/>
        <c:lblOffset val="100"/>
        <c:noMultiLvlLbl val="0"/>
      </c:catAx>
      <c:valAx>
        <c:axId val="2000437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004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/>
              <a:t>Enrolment </a:t>
            </a:r>
            <a:r>
              <a:rPr lang="en-IN" baseline="0"/>
              <a:t>by Monthly Household Income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demography!$B$1</c:f>
              <c:strCache>
                <c:ptCount val="1"/>
                <c:pt idx="0">
                  <c:v>With SS Card (%)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demography!$A$42:$A$50</c:f>
              <c:strCache>
                <c:ptCount val="9"/>
                <c:pt idx="0">
                  <c:v>0 - 5,000</c:v>
                </c:pt>
                <c:pt idx="1">
                  <c:v>5,001 - 10,000</c:v>
                </c:pt>
                <c:pt idx="2">
                  <c:v>10,001 - 15,000</c:v>
                </c:pt>
                <c:pt idx="3">
                  <c:v>15,001 - 20,000</c:v>
                </c:pt>
                <c:pt idx="4">
                  <c:v>20,001 - 25,000</c:v>
                </c:pt>
                <c:pt idx="5">
                  <c:v>25,001 - 35,000</c:v>
                </c:pt>
                <c:pt idx="6">
                  <c:v>35,001 - 50,000</c:v>
                </c:pt>
                <c:pt idx="7">
                  <c:v>50,001 - 1,00,000</c:v>
                </c:pt>
                <c:pt idx="8">
                  <c:v>(No Response)</c:v>
                </c:pt>
              </c:strCache>
            </c:strRef>
          </c:cat>
          <c:val>
            <c:numRef>
              <c:f>demography!$B$42:$B$50</c:f>
              <c:numCache>
                <c:formatCode>0.00%</c:formatCode>
                <c:ptCount val="9"/>
                <c:pt idx="0">
                  <c:v>0.77780000000000005</c:v>
                </c:pt>
                <c:pt idx="1">
                  <c:v>0.95450000000000002</c:v>
                </c:pt>
                <c:pt idx="2">
                  <c:v>0.90620000000000001</c:v>
                </c:pt>
                <c:pt idx="3">
                  <c:v>0.94440000000000002</c:v>
                </c:pt>
                <c:pt idx="4">
                  <c:v>0.72729999999999995</c:v>
                </c:pt>
                <c:pt idx="5">
                  <c:v>1</c:v>
                </c:pt>
                <c:pt idx="6">
                  <c:v>0.64290000000000003</c:v>
                </c:pt>
                <c:pt idx="7">
                  <c:v>0.33329999999999999</c:v>
                </c:pt>
                <c:pt idx="8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1-4C12-8362-8938A56D0554}"/>
            </c:ext>
          </c:extLst>
        </c:ser>
        <c:ser>
          <c:idx val="1"/>
          <c:order val="1"/>
          <c:tx>
            <c:strRef>
              <c:f>demography!$C$1</c:f>
              <c:strCache>
                <c:ptCount val="1"/>
                <c:pt idx="0">
                  <c:v>Without SS Card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numFmt formatCode="0.00%;\-0.00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demography!$A$42:$A$50</c:f>
              <c:strCache>
                <c:ptCount val="9"/>
                <c:pt idx="0">
                  <c:v>0 - 5,000</c:v>
                </c:pt>
                <c:pt idx="1">
                  <c:v>5,001 - 10,000</c:v>
                </c:pt>
                <c:pt idx="2">
                  <c:v>10,001 - 15,000</c:v>
                </c:pt>
                <c:pt idx="3">
                  <c:v>15,001 - 20,000</c:v>
                </c:pt>
                <c:pt idx="4">
                  <c:v>20,001 - 25,000</c:v>
                </c:pt>
                <c:pt idx="5">
                  <c:v>25,001 - 35,000</c:v>
                </c:pt>
                <c:pt idx="6">
                  <c:v>35,001 - 50,000</c:v>
                </c:pt>
                <c:pt idx="7">
                  <c:v>50,001 - 1,00,000</c:v>
                </c:pt>
                <c:pt idx="8">
                  <c:v>(No Response)</c:v>
                </c:pt>
              </c:strCache>
            </c:strRef>
          </c:cat>
          <c:val>
            <c:numRef>
              <c:f>demography!$C$42:$C$50</c:f>
              <c:numCache>
                <c:formatCode>0.00%</c:formatCode>
                <c:ptCount val="9"/>
                <c:pt idx="0">
                  <c:v>0.22219999999999995</c:v>
                </c:pt>
                <c:pt idx="1">
                  <c:v>4.5499999999999985E-2</c:v>
                </c:pt>
                <c:pt idx="2">
                  <c:v>9.3799999999999994E-2</c:v>
                </c:pt>
                <c:pt idx="3">
                  <c:v>5.5599999999999983E-2</c:v>
                </c:pt>
                <c:pt idx="4">
                  <c:v>0.27270000000000005</c:v>
                </c:pt>
                <c:pt idx="5">
                  <c:v>0</c:v>
                </c:pt>
                <c:pt idx="6">
                  <c:v>0.35709999999999997</c:v>
                </c:pt>
                <c:pt idx="7">
                  <c:v>0.66670000000000007</c:v>
                </c:pt>
                <c:pt idx="8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71-4C12-8362-8938A56D055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0435631"/>
        <c:axId val="2000437551"/>
      </c:barChart>
      <c:catAx>
        <c:axId val="20004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2000437551"/>
        <c:crosses val="autoZero"/>
        <c:auto val="1"/>
        <c:lblAlgn val="ctr"/>
        <c:lblOffset val="100"/>
        <c:noMultiLvlLbl val="0"/>
      </c:catAx>
      <c:valAx>
        <c:axId val="2000437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004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/>
              <a:t>Enrolment </a:t>
            </a:r>
            <a:r>
              <a:rPr lang="en-IN" baseline="0"/>
              <a:t>by Educational Qualification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demography!$B$1</c:f>
              <c:strCache>
                <c:ptCount val="1"/>
                <c:pt idx="0">
                  <c:v>With SS Card (%)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demography!$A$20:$A$27</c:f>
              <c:strCache>
                <c:ptCount val="8"/>
                <c:pt idx="0">
                  <c:v>No Formal Education</c:v>
                </c:pt>
                <c:pt idx="1">
                  <c:v>Below Primary</c:v>
                </c:pt>
                <c:pt idx="2">
                  <c:v>Completed Primary</c:v>
                </c:pt>
                <c:pt idx="3">
                  <c:v>Secondary</c:v>
                </c:pt>
                <c:pt idx="4">
                  <c:v>Higher Secondary</c:v>
                </c:pt>
                <c:pt idx="5">
                  <c:v>Graduate</c:v>
                </c:pt>
                <c:pt idx="6">
                  <c:v>Post Graduate</c:v>
                </c:pt>
                <c:pt idx="7">
                  <c:v>(No Response)</c:v>
                </c:pt>
              </c:strCache>
            </c:strRef>
          </c:cat>
          <c:val>
            <c:numRef>
              <c:f>demography!$B$20:$B$27</c:f>
              <c:numCache>
                <c:formatCode>0.00%</c:formatCode>
                <c:ptCount val="8"/>
                <c:pt idx="0">
                  <c:v>0.75</c:v>
                </c:pt>
                <c:pt idx="1">
                  <c:v>0.75</c:v>
                </c:pt>
                <c:pt idx="2">
                  <c:v>0.92589999999999995</c:v>
                </c:pt>
                <c:pt idx="3">
                  <c:v>0.9</c:v>
                </c:pt>
                <c:pt idx="4">
                  <c:v>0.89470000000000005</c:v>
                </c:pt>
                <c:pt idx="5">
                  <c:v>0.63160000000000005</c:v>
                </c:pt>
                <c:pt idx="6">
                  <c:v>0.5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C-4020-BB57-4D9B52D7299D}"/>
            </c:ext>
          </c:extLst>
        </c:ser>
        <c:ser>
          <c:idx val="1"/>
          <c:order val="1"/>
          <c:tx>
            <c:strRef>
              <c:f>demography!$C$1</c:f>
              <c:strCache>
                <c:ptCount val="1"/>
                <c:pt idx="0">
                  <c:v>Without SS Card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numFmt formatCode="0.00%;\-0.00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demography!$A$20:$A$27</c:f>
              <c:strCache>
                <c:ptCount val="8"/>
                <c:pt idx="0">
                  <c:v>No Formal Education</c:v>
                </c:pt>
                <c:pt idx="1">
                  <c:v>Below Primary</c:v>
                </c:pt>
                <c:pt idx="2">
                  <c:v>Completed Primary</c:v>
                </c:pt>
                <c:pt idx="3">
                  <c:v>Secondary</c:v>
                </c:pt>
                <c:pt idx="4">
                  <c:v>Higher Secondary</c:v>
                </c:pt>
                <c:pt idx="5">
                  <c:v>Graduate</c:v>
                </c:pt>
                <c:pt idx="6">
                  <c:v>Post Graduate</c:v>
                </c:pt>
                <c:pt idx="7">
                  <c:v>(No Response)</c:v>
                </c:pt>
              </c:strCache>
            </c:strRef>
          </c:cat>
          <c:val>
            <c:numRef>
              <c:f>demography!$C$20:$C$27</c:f>
              <c:numCache>
                <c:formatCode>0.00%</c:formatCode>
                <c:ptCount val="8"/>
                <c:pt idx="0">
                  <c:v>0.25</c:v>
                </c:pt>
                <c:pt idx="1">
                  <c:v>0.25</c:v>
                </c:pt>
                <c:pt idx="2">
                  <c:v>7.4100000000000055E-2</c:v>
                </c:pt>
                <c:pt idx="3">
                  <c:v>9.9999999999999978E-2</c:v>
                </c:pt>
                <c:pt idx="4">
                  <c:v>0.10529999999999995</c:v>
                </c:pt>
                <c:pt idx="5">
                  <c:v>0.36839999999999995</c:v>
                </c:pt>
                <c:pt idx="6">
                  <c:v>0.5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C-4020-BB57-4D9B52D729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0435631"/>
        <c:axId val="2000437551"/>
      </c:barChart>
      <c:catAx>
        <c:axId val="20004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2000437551"/>
        <c:crosses val="autoZero"/>
        <c:auto val="1"/>
        <c:lblAlgn val="ctr"/>
        <c:lblOffset val="100"/>
        <c:noMultiLvlLbl val="0"/>
      </c:catAx>
      <c:valAx>
        <c:axId val="2000437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004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/>
              <a:t>Enrolment </a:t>
            </a:r>
            <a:r>
              <a:rPr lang="en-IN" baseline="0"/>
              <a:t>by BPL Status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demography!$B$1</c:f>
              <c:strCache>
                <c:ptCount val="1"/>
                <c:pt idx="0">
                  <c:v>With SS Card (%)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demography!$A$55:$A$57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(No Response)</c:v>
                </c:pt>
              </c:strCache>
            </c:strRef>
          </c:cat>
          <c:val>
            <c:numRef>
              <c:f>demography!$B$55:$B$57</c:f>
              <c:numCache>
                <c:formatCode>0.00%</c:formatCode>
                <c:ptCount val="3"/>
                <c:pt idx="0">
                  <c:v>0.95</c:v>
                </c:pt>
                <c:pt idx="1">
                  <c:v>0.77380000000000004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1-422D-8E4E-5FB852A6B5AD}"/>
            </c:ext>
          </c:extLst>
        </c:ser>
        <c:ser>
          <c:idx val="1"/>
          <c:order val="1"/>
          <c:tx>
            <c:strRef>
              <c:f>demography!$C$1</c:f>
              <c:strCache>
                <c:ptCount val="1"/>
                <c:pt idx="0">
                  <c:v>Without SS Card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numFmt formatCode="0.00%;\-0.00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demography!$A$55:$A$57</c:f>
              <c:strCache>
                <c:ptCount val="3"/>
                <c:pt idx="0">
                  <c:v>Yes</c:v>
                </c:pt>
                <c:pt idx="1">
                  <c:v>No</c:v>
                </c:pt>
                <c:pt idx="2">
                  <c:v>(No Response)</c:v>
                </c:pt>
              </c:strCache>
            </c:strRef>
          </c:cat>
          <c:val>
            <c:numRef>
              <c:f>demography!$C$55:$C$57</c:f>
              <c:numCache>
                <c:formatCode>0.00%</c:formatCode>
                <c:ptCount val="3"/>
                <c:pt idx="0">
                  <c:v>5.0000000000000044E-2</c:v>
                </c:pt>
                <c:pt idx="1">
                  <c:v>0.22619999999999996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D1-422D-8E4E-5FB852A6B5A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0435631"/>
        <c:axId val="2000437551"/>
      </c:barChart>
      <c:catAx>
        <c:axId val="20004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2000437551"/>
        <c:crosses val="autoZero"/>
        <c:auto val="1"/>
        <c:lblAlgn val="ctr"/>
        <c:lblOffset val="100"/>
        <c:noMultiLvlLbl val="0"/>
      </c:catAx>
      <c:valAx>
        <c:axId val="2000437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004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/>
              <a:t>Enrolment </a:t>
            </a:r>
            <a:r>
              <a:rPr lang="en-IN" baseline="0"/>
              <a:t>by Number of Earning Members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demography!$B$1</c:f>
              <c:strCache>
                <c:ptCount val="1"/>
                <c:pt idx="0">
                  <c:v>With SS Card (%)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demography!$A$52:$A$53</c:f>
              <c:strCache>
                <c:ptCount val="2"/>
                <c:pt idx="0">
                  <c:v>At most one</c:v>
                </c:pt>
                <c:pt idx="1">
                  <c:v>Two or more</c:v>
                </c:pt>
              </c:strCache>
            </c:strRef>
          </c:cat>
          <c:val>
            <c:numRef>
              <c:f>demography!$B$52:$B$53</c:f>
              <c:numCache>
                <c:formatCode>0.00%</c:formatCode>
                <c:ptCount val="2"/>
                <c:pt idx="0">
                  <c:v>0.75339999999999996</c:v>
                </c:pt>
                <c:pt idx="1">
                  <c:v>0.94640000000000002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9-426C-B0BB-F0148441D01B}"/>
            </c:ext>
          </c:extLst>
        </c:ser>
        <c:ser>
          <c:idx val="1"/>
          <c:order val="1"/>
          <c:tx>
            <c:strRef>
              <c:f>demography!$C$1</c:f>
              <c:strCache>
                <c:ptCount val="1"/>
                <c:pt idx="0">
                  <c:v>Without SS Card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numFmt formatCode="0.00%;\-0.00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demography!$A$52:$A$53</c:f>
              <c:strCache>
                <c:ptCount val="2"/>
                <c:pt idx="0">
                  <c:v>At most one</c:v>
                </c:pt>
                <c:pt idx="1">
                  <c:v>Two or more</c:v>
                </c:pt>
              </c:strCache>
            </c:strRef>
          </c:cat>
          <c:val>
            <c:numRef>
              <c:f>demography!$C$52:$C$53</c:f>
              <c:numCache>
                <c:formatCode>0.00%</c:formatCode>
                <c:ptCount val="2"/>
                <c:pt idx="0">
                  <c:v>0.24660000000000004</c:v>
                </c:pt>
                <c:pt idx="1">
                  <c:v>5.3599999999999981E-2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19-426C-B0BB-F0148441D01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0435631"/>
        <c:axId val="2000437551"/>
      </c:barChart>
      <c:catAx>
        <c:axId val="20004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2000437551"/>
        <c:crosses val="autoZero"/>
        <c:auto val="1"/>
        <c:lblAlgn val="ctr"/>
        <c:lblOffset val="100"/>
        <c:noMultiLvlLbl val="0"/>
      </c:catAx>
      <c:valAx>
        <c:axId val="2000437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004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/>
              <a:t>Enrolment </a:t>
            </a:r>
            <a:r>
              <a:rPr lang="en-IN" baseline="0"/>
              <a:t>by Number of Aged Members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demography!$B$1</c:f>
              <c:strCache>
                <c:ptCount val="1"/>
                <c:pt idx="0">
                  <c:v>With SS Card (%)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demography!$A$33:$A$35</c:f>
              <c:strCache>
                <c:ptCount val="3"/>
                <c:pt idx="0">
                  <c:v>None</c:v>
                </c:pt>
                <c:pt idx="1">
                  <c:v>One</c:v>
                </c:pt>
                <c:pt idx="2">
                  <c:v>Two or more</c:v>
                </c:pt>
              </c:strCache>
            </c:strRef>
          </c:cat>
          <c:val>
            <c:numRef>
              <c:f>demography!$B$33:$B$35</c:f>
              <c:numCache>
                <c:formatCode>0.00%</c:formatCode>
                <c:ptCount val="3"/>
                <c:pt idx="0">
                  <c:v>0.84209999999999996</c:v>
                </c:pt>
                <c:pt idx="1">
                  <c:v>0.84440000000000004</c:v>
                </c:pt>
                <c:pt idx="2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F1-495A-A634-AB17CA5FE4F6}"/>
            </c:ext>
          </c:extLst>
        </c:ser>
        <c:ser>
          <c:idx val="1"/>
          <c:order val="1"/>
          <c:tx>
            <c:strRef>
              <c:f>demography!$C$1</c:f>
              <c:strCache>
                <c:ptCount val="1"/>
                <c:pt idx="0">
                  <c:v>Without SS Card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numFmt formatCode="0.00%;\-0.00%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demography!$A$33:$A$35</c:f>
              <c:strCache>
                <c:ptCount val="3"/>
                <c:pt idx="0">
                  <c:v>None</c:v>
                </c:pt>
                <c:pt idx="1">
                  <c:v>One</c:v>
                </c:pt>
                <c:pt idx="2">
                  <c:v>Two or more</c:v>
                </c:pt>
              </c:strCache>
            </c:strRef>
          </c:cat>
          <c:val>
            <c:numRef>
              <c:f>demography!$C$33:$C$35</c:f>
              <c:numCache>
                <c:formatCode>0.00%</c:formatCode>
                <c:ptCount val="3"/>
                <c:pt idx="0">
                  <c:v>0.15790000000000004</c:v>
                </c:pt>
                <c:pt idx="1">
                  <c:v>0.15559999999999996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F1-495A-A634-AB17CA5FE4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95"/>
        <c:overlap val="100"/>
        <c:axId val="2000435631"/>
        <c:axId val="2000437551"/>
      </c:barChart>
      <c:catAx>
        <c:axId val="2000435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2000437551"/>
        <c:crosses val="autoZero"/>
        <c:auto val="1"/>
        <c:lblAlgn val="ctr"/>
        <c:lblOffset val="100"/>
        <c:noMultiLvlLbl val="0"/>
      </c:catAx>
      <c:valAx>
        <c:axId val="200043755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0043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US"/>
              <a:t>Source of Information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1"/>
          <c:order val="0"/>
          <c:tx>
            <c:strRef>
              <c:f>enrolment!$A$2</c:f>
              <c:strCache>
                <c:ptCount val="1"/>
                <c:pt idx="0">
                  <c:v>Source</c:v>
                </c:pt>
              </c:strCache>
            </c:strRef>
          </c:tx>
          <c:spPr>
            <a:solidFill>
              <a:srgbClr val="3BADEF"/>
            </a:solidFill>
          </c:spPr>
          <c:dPt>
            <c:idx val="0"/>
            <c:bubble3D val="0"/>
            <c:spPr>
              <a:solidFill>
                <a:srgbClr val="3BADE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056-44E8-A996-D5139B888E24}"/>
              </c:ext>
            </c:extLst>
          </c:dPt>
          <c:dPt>
            <c:idx val="1"/>
            <c:bubble3D val="0"/>
            <c:spPr>
              <a:solidFill>
                <a:srgbClr val="EA554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A8C-4F64-9365-08D1A783B3B2}"/>
              </c:ext>
            </c:extLst>
          </c:dPt>
          <c:dPt>
            <c:idx val="2"/>
            <c:bubble3D val="0"/>
            <c:spPr>
              <a:solidFill>
                <a:srgbClr val="EF9C1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8C-4F64-9365-08D1A783B3B2}"/>
              </c:ext>
            </c:extLst>
          </c:dPt>
          <c:dPt>
            <c:idx val="3"/>
            <c:bubble3D val="0"/>
            <c:spPr>
              <a:solidFill>
                <a:srgbClr val="EDBE3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A8C-4F64-9365-08D1A783B3B2}"/>
              </c:ext>
            </c:extLst>
          </c:dPt>
          <c:dPt>
            <c:idx val="4"/>
            <c:bubble3D val="0"/>
            <c:spPr>
              <a:solidFill>
                <a:srgbClr val="BCCF3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8C-4F64-9365-08D1A783B3B2}"/>
              </c:ext>
            </c:extLst>
          </c:dPt>
          <c:dPt>
            <c:idx val="5"/>
            <c:bubble3D val="0"/>
            <c:spPr>
              <a:solidFill>
                <a:srgbClr val="85BB4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A8C-4F64-9365-08D1A783B3B2}"/>
              </c:ext>
            </c:extLst>
          </c:dPt>
          <c:dPt>
            <c:idx val="6"/>
            <c:bubble3D val="0"/>
            <c:spPr>
              <a:solidFill>
                <a:srgbClr val="B43DC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A8C-4F64-9365-08D1A783B3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enrolment!$A$3:$A$9</c:f>
              <c:strCache>
                <c:ptCount val="7"/>
                <c:pt idx="0">
                  <c:v>Government</c:v>
                </c:pt>
                <c:pt idx="1">
                  <c:v>Party Worker</c:v>
                </c:pt>
                <c:pt idx="2">
                  <c:v>Friend and Relatives</c:v>
                </c:pt>
                <c:pt idx="3">
                  <c:v>Newspaper</c:v>
                </c:pt>
                <c:pt idx="4">
                  <c:v>Television</c:v>
                </c:pt>
                <c:pt idx="5">
                  <c:v>Others</c:v>
                </c:pt>
                <c:pt idx="6">
                  <c:v>Don't Know</c:v>
                </c:pt>
              </c:strCache>
            </c:strRef>
          </c:cat>
          <c:val>
            <c:numRef>
              <c:f>enrolment!$B$3:$B$9</c:f>
              <c:numCache>
                <c:formatCode>0.00%</c:formatCode>
                <c:ptCount val="7"/>
                <c:pt idx="0">
                  <c:v>0.38</c:v>
                </c:pt>
                <c:pt idx="1">
                  <c:v>0.36099999999999999</c:v>
                </c:pt>
                <c:pt idx="2">
                  <c:v>0.157</c:v>
                </c:pt>
                <c:pt idx="3">
                  <c:v>5.5599999999999997E-2</c:v>
                </c:pt>
                <c:pt idx="4">
                  <c:v>2.7799999999999998E-2</c:v>
                </c:pt>
                <c:pt idx="5">
                  <c:v>9.2999999999999992E-3</c:v>
                </c:pt>
                <c:pt idx="6">
                  <c:v>9.2999999999999992E-3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8C-4F64-9365-08D1A783B3B2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/>
              <a:t>Place of</a:t>
            </a:r>
            <a:r>
              <a:rPr lang="en-IN" baseline="0"/>
              <a:t> Enrolment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4663003663003663"/>
          <c:w val="1"/>
          <c:h val="0.81307692307692303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enrolment!$B$28</c:f>
              <c:strCache>
                <c:ptCount val="1"/>
                <c:pt idx="0">
                  <c:v>Duare Sarkar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F1C-46AC-A916-20C50913B3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enrolment!$A$29</c:f>
              <c:strCache>
                <c:ptCount val="1"/>
                <c:pt idx="0">
                  <c:v>Enrolment</c:v>
                </c:pt>
              </c:strCache>
            </c:strRef>
          </c:cat>
          <c:val>
            <c:numRef>
              <c:f>enrolment!$B$29</c:f>
              <c:numCache>
                <c:formatCode>0.00%</c:formatCode>
                <c:ptCount val="1"/>
                <c:pt idx="0">
                  <c:v>0.97199999999999998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1C-46AC-A916-20C50913B35C}"/>
            </c:ext>
          </c:extLst>
        </c:ser>
        <c:ser>
          <c:idx val="1"/>
          <c:order val="1"/>
          <c:tx>
            <c:strRef>
              <c:f>enrolment!$C$28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F1C-46AC-A916-20C50913B35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enrolment!$A$29</c:f>
              <c:strCache>
                <c:ptCount val="1"/>
                <c:pt idx="0">
                  <c:v>Enrolment</c:v>
                </c:pt>
              </c:strCache>
            </c:strRef>
          </c:cat>
          <c:val>
            <c:numRef>
              <c:f>enrolment!$C$29</c:f>
              <c:numCache>
                <c:formatCode>0.00%</c:formatCode>
                <c:ptCount val="1"/>
                <c:pt idx="0">
                  <c:v>0.27800000000000002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F1C-46AC-A916-20C50913B3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2109927744"/>
        <c:axId val="2109928704"/>
      </c:barChart>
      <c:catAx>
        <c:axId val="21099277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09928704"/>
        <c:crosses val="autoZero"/>
        <c:auto val="1"/>
        <c:lblAlgn val="ctr"/>
        <c:lblOffset val="100"/>
        <c:noMultiLvlLbl val="0"/>
      </c:catAx>
      <c:valAx>
        <c:axId val="21099287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1099277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US"/>
              <a:t>Reasons for Not</a:t>
            </a:r>
            <a:r>
              <a:rPr lang="en-US" baseline="0"/>
              <a:t> Enrolling into Swasthya Sathi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enrolment!$A$35</c:f>
              <c:strCache>
                <c:ptCount val="1"/>
                <c:pt idx="0">
                  <c:v>Reason for Not Enrolling into Swasthya Sathi</c:v>
                </c:pt>
              </c:strCache>
            </c:strRef>
          </c:tx>
          <c:spPr>
            <a:solidFill>
              <a:srgbClr val="EF9C1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enrolment!$A$36:$A$42</c:f>
              <c:strCache>
                <c:ptCount val="7"/>
                <c:pt idx="0">
                  <c:v>Difficulty in Enrolment Process</c:v>
                </c:pt>
                <c:pt idx="1">
                  <c:v>Lack of Necessary Documents</c:v>
                </c:pt>
                <c:pt idx="2">
                  <c:v>No Need for Government Medical Insurance</c:v>
                </c:pt>
                <c:pt idx="3">
                  <c:v>Hospitals/doctors Not Included</c:v>
                </c:pt>
                <c:pt idx="4">
                  <c:v>Dislike Empanelled Hospitals</c:v>
                </c:pt>
                <c:pt idx="5">
                  <c:v>Concerns About Quality of Care</c:v>
                </c:pt>
                <c:pt idx="6">
                  <c:v>Registered Under Another Health Scheme</c:v>
                </c:pt>
              </c:strCache>
            </c:strRef>
          </c:cat>
          <c:val>
            <c:numRef>
              <c:f>enrolment!$B$36:$B$42</c:f>
              <c:numCache>
                <c:formatCode>General</c:formatCode>
                <c:ptCount val="7"/>
                <c:pt idx="0">
                  <c:v>5</c:v>
                </c:pt>
                <c:pt idx="1">
                  <c:v>3</c:v>
                </c:pt>
                <c:pt idx="2">
                  <c:v>8</c:v>
                </c:pt>
                <c:pt idx="3">
                  <c:v>6</c:v>
                </c:pt>
                <c:pt idx="4">
                  <c:v>2</c:v>
                </c:pt>
                <c:pt idx="5">
                  <c:v>9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820-4997-B188-B934D803B9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0247119"/>
        <c:axId val="70244239"/>
      </c:barChart>
      <c:valAx>
        <c:axId val="702442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70247119"/>
        <c:crosses val="autoZero"/>
        <c:crossBetween val="between"/>
      </c:valAx>
      <c:catAx>
        <c:axId val="7024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70244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 sz="1400" b="0" i="0" u="none" strike="noStrike" baseline="0"/>
              <a:t>Reasons for Non-Usage of Scheme During Last Hospitalisation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enrolment!$A$45</c:f>
              <c:strCache>
                <c:ptCount val="1"/>
                <c:pt idx="0">
                  <c:v>Reason for Not Using the Scheme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enrolment!$A$46:$A$51</c:f>
              <c:strCache>
                <c:ptCount val="6"/>
                <c:pt idx="0">
                  <c:v>Unaware of Benefits</c:v>
                </c:pt>
                <c:pt idx="1">
                  <c:v>Treatment Place Not Empanelled</c:v>
                </c:pt>
                <c:pt idx="2">
                  <c:v>Doctor Not Empanelled</c:v>
                </c:pt>
                <c:pt idx="3">
                  <c:v>Had Health Insurance</c:v>
                </c:pt>
                <c:pt idx="4">
                  <c:v>Forgot About the Card</c:v>
                </c:pt>
                <c:pt idx="5">
                  <c:v>Other Reason</c:v>
                </c:pt>
              </c:strCache>
            </c:strRef>
          </c:cat>
          <c:val>
            <c:numRef>
              <c:f>enrolment!$B$46:$B$51</c:f>
              <c:numCache>
                <c:formatCode>General</c:formatCode>
                <c:ptCount val="6"/>
                <c:pt idx="0">
                  <c:v>8</c:v>
                </c:pt>
                <c:pt idx="1">
                  <c:v>14</c:v>
                </c:pt>
                <c:pt idx="2">
                  <c:v>12</c:v>
                </c:pt>
                <c:pt idx="3">
                  <c:v>6</c:v>
                </c:pt>
                <c:pt idx="4">
                  <c:v>8</c:v>
                </c:pt>
                <c:pt idx="5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E4-406F-91A0-0136283E0D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70247119"/>
        <c:axId val="70244239"/>
      </c:barChart>
      <c:valAx>
        <c:axId val="70244239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70247119"/>
        <c:crosses val="autoZero"/>
        <c:crossBetween val="between"/>
      </c:valAx>
      <c:catAx>
        <c:axId val="702471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7024423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/>
              <a:t>Duration</a:t>
            </a:r>
            <a:r>
              <a:rPr lang="en-IN" baseline="0"/>
              <a:t> of E</a:t>
            </a:r>
            <a:r>
              <a:rPr lang="en-IN"/>
              <a:t>nrolment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awareness!$A$2</c:f>
              <c:strCache>
                <c:ptCount val="1"/>
                <c:pt idx="0">
                  <c:v>Less than 1 hour</c:v>
                </c:pt>
              </c:strCache>
            </c:strRef>
          </c:tx>
          <c:spPr>
            <a:solidFill>
              <a:srgbClr val="3BADE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awareness!$B$2</c:f>
              <c:numCache>
                <c:formatCode>General</c:formatCode>
                <c:ptCount val="1"/>
                <c:pt idx="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5-444B-B033-FACCB577780C}"/>
            </c:ext>
          </c:extLst>
        </c:ser>
        <c:ser>
          <c:idx val="1"/>
          <c:order val="1"/>
          <c:tx>
            <c:strRef>
              <c:f>awareness!$A$3</c:f>
              <c:strCache>
                <c:ptCount val="1"/>
                <c:pt idx="0">
                  <c:v>1-2 hours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awareness!$B$3</c:f>
              <c:numCache>
                <c:formatCode>General</c:formatCode>
                <c:ptCount val="1"/>
                <c:pt idx="0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805-444B-B033-FACCB577780C}"/>
            </c:ext>
          </c:extLst>
        </c:ser>
        <c:ser>
          <c:idx val="2"/>
          <c:order val="2"/>
          <c:tx>
            <c:strRef>
              <c:f>awareness!$A$4</c:f>
              <c:strCache>
                <c:ptCount val="1"/>
                <c:pt idx="0">
                  <c:v>2-3 hours</c:v>
                </c:pt>
              </c:strCache>
            </c:strRef>
          </c:tx>
          <c:spPr>
            <a:solidFill>
              <a:srgbClr val="EF9C1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awareness!$B$4</c:f>
              <c:numCache>
                <c:formatCode>General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805-444B-B033-FACCB577780C}"/>
            </c:ext>
          </c:extLst>
        </c:ser>
        <c:ser>
          <c:idx val="3"/>
          <c:order val="3"/>
          <c:tx>
            <c:strRef>
              <c:f>awareness!$A$5</c:f>
              <c:strCache>
                <c:ptCount val="1"/>
                <c:pt idx="0">
                  <c:v>3-4 hours</c:v>
                </c:pt>
              </c:strCache>
            </c:strRef>
          </c:tx>
          <c:spPr>
            <a:solidFill>
              <a:srgbClr val="85BB4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awareness!$B$5</c:f>
              <c:numCache>
                <c:formatCode>General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805-444B-B033-FACCB577780C}"/>
            </c:ext>
          </c:extLst>
        </c:ser>
        <c:ser>
          <c:idx val="4"/>
          <c:order val="4"/>
          <c:tx>
            <c:strRef>
              <c:f>awareness!$A$6</c:f>
              <c:strCache>
                <c:ptCount val="1"/>
                <c:pt idx="0">
                  <c:v>More than 4 hours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awareness!$B$6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805-444B-B033-FACCB5777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81696160"/>
        <c:axId val="1581694240"/>
      </c:barChart>
      <c:catAx>
        <c:axId val="1581696160"/>
        <c:scaling>
          <c:orientation val="minMax"/>
        </c:scaling>
        <c:delete val="1"/>
        <c:axPos val="b"/>
        <c:majorTickMark val="none"/>
        <c:minorTickMark val="none"/>
        <c:tickLblPos val="nextTo"/>
        <c:crossAx val="1581694240"/>
        <c:crosses val="autoZero"/>
        <c:auto val="1"/>
        <c:lblAlgn val="ctr"/>
        <c:lblOffset val="100"/>
        <c:noMultiLvlLbl val="0"/>
      </c:catAx>
      <c:valAx>
        <c:axId val="158169424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58169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 sz="1400" b="0" i="0" u="none" strike="noStrike" baseline="0"/>
              <a:t>Response to Covered Benefits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awareness!$B$19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85BB4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awareness!$A$20:$A$23</c:f>
              <c:strCache>
                <c:ptCount val="4"/>
                <c:pt idx="0">
                  <c:v>Travel Allowance</c:v>
                </c:pt>
                <c:pt idx="1">
                  <c:v>Emergency Care</c:v>
                </c:pt>
                <c:pt idx="2">
                  <c:v>Hospitalisation</c:v>
                </c:pt>
                <c:pt idx="3">
                  <c:v>Maternity Care</c:v>
                </c:pt>
              </c:strCache>
            </c:strRef>
          </c:cat>
          <c:val>
            <c:numRef>
              <c:f>awareness!$B$20:$B$23</c:f>
              <c:numCache>
                <c:formatCode>General</c:formatCode>
                <c:ptCount val="4"/>
                <c:pt idx="0">
                  <c:v>32</c:v>
                </c:pt>
                <c:pt idx="1">
                  <c:v>49</c:v>
                </c:pt>
                <c:pt idx="2">
                  <c:v>93</c:v>
                </c:pt>
                <c:pt idx="3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D-4DBF-B706-B27D284F8E80}"/>
            </c:ext>
          </c:extLst>
        </c:ser>
        <c:ser>
          <c:idx val="1"/>
          <c:order val="1"/>
          <c:tx>
            <c:strRef>
              <c:f>awareness!$C$19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awareness!$A$20:$A$23</c:f>
              <c:strCache>
                <c:ptCount val="4"/>
                <c:pt idx="0">
                  <c:v>Travel Allowance</c:v>
                </c:pt>
                <c:pt idx="1">
                  <c:v>Emergency Care</c:v>
                </c:pt>
                <c:pt idx="2">
                  <c:v>Hospitalisation</c:v>
                </c:pt>
                <c:pt idx="3">
                  <c:v>Maternity Care</c:v>
                </c:pt>
              </c:strCache>
            </c:strRef>
          </c:cat>
          <c:val>
            <c:numRef>
              <c:f>awareness!$C$20:$C$23</c:f>
              <c:numCache>
                <c:formatCode>General</c:formatCode>
                <c:ptCount val="4"/>
                <c:pt idx="0">
                  <c:v>44</c:v>
                </c:pt>
                <c:pt idx="1">
                  <c:v>38</c:v>
                </c:pt>
                <c:pt idx="2">
                  <c:v>9</c:v>
                </c:pt>
                <c:pt idx="3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0D-4DBF-B706-B27D284F8E80}"/>
            </c:ext>
          </c:extLst>
        </c:ser>
        <c:ser>
          <c:idx val="2"/>
          <c:order val="2"/>
          <c:tx>
            <c:strRef>
              <c:f>awareness!$D$19</c:f>
              <c:strCache>
                <c:ptCount val="1"/>
                <c:pt idx="0">
                  <c:v>Don't Know</c:v>
                </c:pt>
              </c:strCache>
            </c:strRef>
          </c:tx>
          <c:spPr>
            <a:solidFill>
              <a:srgbClr val="EDBE3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awareness!$A$20:$A$23</c:f>
              <c:strCache>
                <c:ptCount val="4"/>
                <c:pt idx="0">
                  <c:v>Travel Allowance</c:v>
                </c:pt>
                <c:pt idx="1">
                  <c:v>Emergency Care</c:v>
                </c:pt>
                <c:pt idx="2">
                  <c:v>Hospitalisation</c:v>
                </c:pt>
                <c:pt idx="3">
                  <c:v>Maternity Care</c:v>
                </c:pt>
              </c:strCache>
            </c:strRef>
          </c:cat>
          <c:val>
            <c:numRef>
              <c:f>awareness!$D$20:$D$23</c:f>
              <c:numCache>
                <c:formatCode>General</c:formatCode>
                <c:ptCount val="4"/>
                <c:pt idx="0">
                  <c:v>32</c:v>
                </c:pt>
                <c:pt idx="1">
                  <c:v>21</c:v>
                </c:pt>
                <c:pt idx="2">
                  <c:v>6</c:v>
                </c:pt>
                <c:pt idx="3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0D-4DBF-B706-B27D284F8E8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57484976"/>
        <c:axId val="1457479696"/>
      </c:barChart>
      <c:catAx>
        <c:axId val="1457484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1457479696"/>
        <c:crosses val="autoZero"/>
        <c:auto val="1"/>
        <c:lblAlgn val="ctr"/>
        <c:lblOffset val="100"/>
        <c:noMultiLvlLbl val="0"/>
      </c:catAx>
      <c:valAx>
        <c:axId val="145747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145748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 sz="1400" b="0" i="0" u="none" strike="noStrike" baseline="0"/>
              <a:t>Response to Non-covered Benefits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awareness!$B$19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awareness!$A$24:$A$26</c:f>
              <c:strCache>
                <c:ptCount val="3"/>
                <c:pt idx="0">
                  <c:v>OPD Visits</c:v>
                </c:pt>
                <c:pt idx="1">
                  <c:v>National Coverage</c:v>
                </c:pt>
                <c:pt idx="2">
                  <c:v>Male Enrolment</c:v>
                </c:pt>
              </c:strCache>
            </c:strRef>
          </c:cat>
          <c:val>
            <c:numRef>
              <c:f>awareness!$B$24:$B$26</c:f>
              <c:numCache>
                <c:formatCode>General</c:formatCode>
                <c:ptCount val="3"/>
                <c:pt idx="0">
                  <c:v>25</c:v>
                </c:pt>
                <c:pt idx="1">
                  <c:v>14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88-4CFA-8CF2-70BC8E3FFD1A}"/>
            </c:ext>
          </c:extLst>
        </c:ser>
        <c:ser>
          <c:idx val="1"/>
          <c:order val="1"/>
          <c:tx>
            <c:strRef>
              <c:f>awareness!$C$19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85BB4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awareness!$A$24:$A$26</c:f>
              <c:strCache>
                <c:ptCount val="3"/>
                <c:pt idx="0">
                  <c:v>OPD Visits</c:v>
                </c:pt>
                <c:pt idx="1">
                  <c:v>National Coverage</c:v>
                </c:pt>
                <c:pt idx="2">
                  <c:v>Male Enrolment</c:v>
                </c:pt>
              </c:strCache>
            </c:strRef>
          </c:cat>
          <c:val>
            <c:numRef>
              <c:f>awareness!$C$24:$C$26</c:f>
              <c:numCache>
                <c:formatCode>General</c:formatCode>
                <c:ptCount val="3"/>
                <c:pt idx="0">
                  <c:v>58</c:v>
                </c:pt>
                <c:pt idx="1">
                  <c:v>51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88-4CFA-8CF2-70BC8E3FFD1A}"/>
            </c:ext>
          </c:extLst>
        </c:ser>
        <c:ser>
          <c:idx val="2"/>
          <c:order val="2"/>
          <c:tx>
            <c:strRef>
              <c:f>awareness!$D$19</c:f>
              <c:strCache>
                <c:ptCount val="1"/>
                <c:pt idx="0">
                  <c:v>Don't Know</c:v>
                </c:pt>
              </c:strCache>
            </c:strRef>
          </c:tx>
          <c:spPr>
            <a:solidFill>
              <a:srgbClr val="EDBE3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awareness!$A$24:$A$26</c:f>
              <c:strCache>
                <c:ptCount val="3"/>
                <c:pt idx="0">
                  <c:v>OPD Visits</c:v>
                </c:pt>
                <c:pt idx="1">
                  <c:v>National Coverage</c:v>
                </c:pt>
                <c:pt idx="2">
                  <c:v>Male Enrolment</c:v>
                </c:pt>
              </c:strCache>
            </c:strRef>
          </c:cat>
          <c:val>
            <c:numRef>
              <c:f>awareness!$D$24:$D$26</c:f>
              <c:numCache>
                <c:formatCode>General</c:formatCode>
                <c:ptCount val="3"/>
                <c:pt idx="0">
                  <c:v>52</c:v>
                </c:pt>
                <c:pt idx="1">
                  <c:v>43</c:v>
                </c:pt>
                <c:pt idx="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88-4CFA-8CF2-70BC8E3FFD1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457484976"/>
        <c:axId val="1457479696"/>
      </c:barChart>
      <c:catAx>
        <c:axId val="1457484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1457479696"/>
        <c:crosses val="autoZero"/>
        <c:auto val="1"/>
        <c:lblAlgn val="ctr"/>
        <c:lblOffset val="100"/>
        <c:noMultiLvlLbl val="0"/>
      </c:catAx>
      <c:valAx>
        <c:axId val="1457479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1457484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r>
              <a:rPr lang="en-IN"/>
              <a:t>Hospitalisation Episode - Ratings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hospitalisation!$C$1</c:f>
              <c:strCache>
                <c:ptCount val="1"/>
                <c:pt idx="0">
                  <c:v>Good (%)</c:v>
                </c:pt>
              </c:strCache>
            </c:strRef>
          </c:tx>
          <c:spPr>
            <a:solidFill>
              <a:srgbClr val="85BB4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hospitalisation!$B$2:$B$7</c:f>
              <c:strCache>
                <c:ptCount val="6"/>
                <c:pt idx="0">
                  <c:v>Overall process</c:v>
                </c:pt>
                <c:pt idx="1">
                  <c:v>Release process</c:v>
                </c:pt>
                <c:pt idx="2">
                  <c:v>Care taken by nurses</c:v>
                </c:pt>
                <c:pt idx="3">
                  <c:v>Care taken by doctors</c:v>
                </c:pt>
                <c:pt idx="4">
                  <c:v>Treatment process</c:v>
                </c:pt>
                <c:pt idx="5">
                  <c:v>Admission process</c:v>
                </c:pt>
              </c:strCache>
            </c:strRef>
          </c:cat>
          <c:val>
            <c:numRef>
              <c:f>hospitalisation!$C$2:$C$7</c:f>
              <c:numCache>
                <c:formatCode>0.00%</c:formatCode>
                <c:ptCount val="6"/>
                <c:pt idx="0">
                  <c:v>0.6744</c:v>
                </c:pt>
                <c:pt idx="1">
                  <c:v>0.60470000000000002</c:v>
                </c:pt>
                <c:pt idx="2">
                  <c:v>0.68989999999999996</c:v>
                </c:pt>
                <c:pt idx="3">
                  <c:v>0.7752</c:v>
                </c:pt>
                <c:pt idx="4">
                  <c:v>0.72870000000000001</c:v>
                </c:pt>
                <c:pt idx="5">
                  <c:v>0.59689999999999999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34-44D2-A2FD-53DE36652970}"/>
            </c:ext>
          </c:extLst>
        </c:ser>
        <c:ser>
          <c:idx val="1"/>
          <c:order val="1"/>
          <c:tx>
            <c:strRef>
              <c:f>hospitalisation!$D$1</c:f>
              <c:strCache>
                <c:ptCount val="1"/>
                <c:pt idx="0">
                  <c:v>Okay (%)</c:v>
                </c:pt>
              </c:strCache>
            </c:strRef>
          </c:tx>
          <c:spPr>
            <a:solidFill>
              <a:srgbClr val="EDBE3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hospitalisation!$B$2:$B$7</c:f>
              <c:strCache>
                <c:ptCount val="6"/>
                <c:pt idx="0">
                  <c:v>Overall process</c:v>
                </c:pt>
                <c:pt idx="1">
                  <c:v>Release process</c:v>
                </c:pt>
                <c:pt idx="2">
                  <c:v>Care taken by nurses</c:v>
                </c:pt>
                <c:pt idx="3">
                  <c:v>Care taken by doctors</c:v>
                </c:pt>
                <c:pt idx="4">
                  <c:v>Treatment process</c:v>
                </c:pt>
                <c:pt idx="5">
                  <c:v>Admission process</c:v>
                </c:pt>
              </c:strCache>
            </c:strRef>
          </c:cat>
          <c:val>
            <c:numRef>
              <c:f>hospitalisation!$D$2:$D$7</c:f>
              <c:numCache>
                <c:formatCode>0.00%</c:formatCode>
                <c:ptCount val="6"/>
                <c:pt idx="0">
                  <c:v>0.31780000000000003</c:v>
                </c:pt>
                <c:pt idx="1">
                  <c:v>0.31780000000000003</c:v>
                </c:pt>
                <c:pt idx="2">
                  <c:v>0.2868</c:v>
                </c:pt>
                <c:pt idx="3">
                  <c:v>0.21710000000000002</c:v>
                </c:pt>
                <c:pt idx="4">
                  <c:v>0.25579999999999997</c:v>
                </c:pt>
                <c:pt idx="5">
                  <c:v>0.37979999999999997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34-44D2-A2FD-53DE36652970}"/>
            </c:ext>
          </c:extLst>
        </c:ser>
        <c:ser>
          <c:idx val="2"/>
          <c:order val="2"/>
          <c:tx>
            <c:strRef>
              <c:f>hospitalisation!$E$1</c:f>
              <c:strCache>
                <c:ptCount val="1"/>
                <c:pt idx="0">
                  <c:v>Bad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Helvetica World" panose="020B05000400000200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hospitalisation!$B$2:$B$7</c:f>
              <c:strCache>
                <c:ptCount val="6"/>
                <c:pt idx="0">
                  <c:v>Overall process</c:v>
                </c:pt>
                <c:pt idx="1">
                  <c:v>Release process</c:v>
                </c:pt>
                <c:pt idx="2">
                  <c:v>Care taken by nurses</c:v>
                </c:pt>
                <c:pt idx="3">
                  <c:v>Care taken by doctors</c:v>
                </c:pt>
                <c:pt idx="4">
                  <c:v>Treatment process</c:v>
                </c:pt>
                <c:pt idx="5">
                  <c:v>Admission process</c:v>
                </c:pt>
              </c:strCache>
            </c:strRef>
          </c:cat>
          <c:val>
            <c:numRef>
              <c:f>hospitalisation!$E$2:$E$7</c:f>
              <c:numCache>
                <c:formatCode>0.00%</c:formatCode>
                <c:ptCount val="6"/>
                <c:pt idx="0">
                  <c:v>7.8000000000000005E-3</c:v>
                </c:pt>
                <c:pt idx="1">
                  <c:v>7.7499999999999999E-2</c:v>
                </c:pt>
                <c:pt idx="2">
                  <c:v>2.3300000000000001E-2</c:v>
                </c:pt>
                <c:pt idx="3">
                  <c:v>7.8000000000000005E-3</c:v>
                </c:pt>
                <c:pt idx="4">
                  <c:v>1.5500000000000002E-2</c:v>
                </c:pt>
                <c:pt idx="5">
                  <c:v>2.3300000000000001E-2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34-44D2-A2FD-53DE3665297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18727616"/>
        <c:axId val="1818717536"/>
      </c:barChart>
      <c:catAx>
        <c:axId val="181872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1818717536"/>
        <c:crosses val="autoZero"/>
        <c:auto val="1"/>
        <c:lblAlgn val="ctr"/>
        <c:lblOffset val="100"/>
        <c:noMultiLvlLbl val="0"/>
      </c:catAx>
      <c:valAx>
        <c:axId val="181871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Helvetica World" panose="020B0500040000020004" pitchFamily="34" charset="0"/>
                <a:ea typeface="+mn-ea"/>
                <a:cs typeface="+mn-cs"/>
              </a:defRPr>
            </a:pPr>
            <a:endParaRPr lang="en-US"/>
          </a:p>
        </c:txPr>
        <c:crossAx val="181872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Helvetica World" panose="020B05000400000200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latin typeface="Helvetica World" panose="020B05000400000200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Experience with Swasthya Sathi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hospitalisation!$C$1</c:f>
              <c:strCache>
                <c:ptCount val="1"/>
                <c:pt idx="0">
                  <c:v>Good (%)</c:v>
                </c:pt>
              </c:strCache>
            </c:strRef>
          </c:tx>
          <c:spPr>
            <a:solidFill>
              <a:srgbClr val="85BB44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hospitalisation!$B$15:$B$18</c:f>
              <c:strCache>
                <c:ptCount val="4"/>
                <c:pt idx="0">
                  <c:v>Level of financial assistance</c:v>
                </c:pt>
                <c:pt idx="1">
                  <c:v>Empanelment of doctors</c:v>
                </c:pt>
                <c:pt idx="2">
                  <c:v>Coverage of hospitals</c:v>
                </c:pt>
                <c:pt idx="3">
                  <c:v>Access to information</c:v>
                </c:pt>
              </c:strCache>
            </c:strRef>
          </c:cat>
          <c:val>
            <c:numRef>
              <c:f>hospitalisation!$C$15:$C$18</c:f>
              <c:numCache>
                <c:formatCode>0.00%</c:formatCode>
                <c:ptCount val="4"/>
                <c:pt idx="0">
                  <c:v>0.54930000000000001</c:v>
                </c:pt>
                <c:pt idx="1">
                  <c:v>0.52110000000000001</c:v>
                </c:pt>
                <c:pt idx="2">
                  <c:v>0.53520000000000001</c:v>
                </c:pt>
                <c:pt idx="3">
                  <c:v>0.43659999999999999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3A-49BC-BDEC-F029BCE770A1}"/>
            </c:ext>
          </c:extLst>
        </c:ser>
        <c:ser>
          <c:idx val="1"/>
          <c:order val="1"/>
          <c:tx>
            <c:strRef>
              <c:f>hospitalisation!$D$1</c:f>
              <c:strCache>
                <c:ptCount val="1"/>
                <c:pt idx="0">
                  <c:v>Okay (%)</c:v>
                </c:pt>
              </c:strCache>
            </c:strRef>
          </c:tx>
          <c:spPr>
            <a:solidFill>
              <a:srgbClr val="EDBE30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hospitalisation!$B$15:$B$18</c:f>
              <c:strCache>
                <c:ptCount val="4"/>
                <c:pt idx="0">
                  <c:v>Level of financial assistance</c:v>
                </c:pt>
                <c:pt idx="1">
                  <c:v>Empanelment of doctors</c:v>
                </c:pt>
                <c:pt idx="2">
                  <c:v>Coverage of hospitals</c:v>
                </c:pt>
                <c:pt idx="3">
                  <c:v>Access to information</c:v>
                </c:pt>
              </c:strCache>
            </c:strRef>
          </c:cat>
          <c:val>
            <c:numRef>
              <c:f>hospitalisation!$D$15:$D$18</c:f>
              <c:numCache>
                <c:formatCode>0.00%</c:formatCode>
                <c:ptCount val="4"/>
                <c:pt idx="0">
                  <c:v>0.38030000000000003</c:v>
                </c:pt>
                <c:pt idx="1">
                  <c:v>0.42249999999999999</c:v>
                </c:pt>
                <c:pt idx="2">
                  <c:v>0.39439999999999997</c:v>
                </c:pt>
                <c:pt idx="3">
                  <c:v>0.50700000000000001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3A-49BC-BDEC-F029BCE770A1}"/>
            </c:ext>
          </c:extLst>
        </c:ser>
        <c:ser>
          <c:idx val="2"/>
          <c:order val="2"/>
          <c:tx>
            <c:strRef>
              <c:f>hospitalisation!$E$1</c:f>
              <c:strCache>
                <c:ptCount val="1"/>
                <c:pt idx="0">
                  <c:v>Bad (%)</c:v>
                </c:pt>
              </c:strCache>
            </c:strRef>
          </c:tx>
          <c:spPr>
            <a:solidFill>
              <a:srgbClr val="EA5543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hospitalisation!$B$15:$B$18</c:f>
              <c:strCache>
                <c:ptCount val="4"/>
                <c:pt idx="0">
                  <c:v>Level of financial assistance</c:v>
                </c:pt>
                <c:pt idx="1">
                  <c:v>Empanelment of doctors</c:v>
                </c:pt>
                <c:pt idx="2">
                  <c:v>Coverage of hospitals</c:v>
                </c:pt>
                <c:pt idx="3">
                  <c:v>Access to information</c:v>
                </c:pt>
              </c:strCache>
            </c:strRef>
          </c:cat>
          <c:val>
            <c:numRef>
              <c:f>hospitalisation!$E$15:$E$18</c:f>
              <c:numCache>
                <c:formatCode>0.00%</c:formatCode>
                <c:ptCount val="4"/>
                <c:pt idx="0">
                  <c:v>7.0400000000000004E-2</c:v>
                </c:pt>
                <c:pt idx="1">
                  <c:v>5.6300000000000003E-2</c:v>
                </c:pt>
                <c:pt idx="2">
                  <c:v>7.0400000000000004E-2</c:v>
                </c:pt>
                <c:pt idx="3">
                  <c:v>5.6300000000000003E-2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3A-49BC-BDEC-F029BCE770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18727616"/>
        <c:axId val="1818717536"/>
      </c:barChart>
      <c:catAx>
        <c:axId val="1818727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717536"/>
        <c:crosses val="autoZero"/>
        <c:auto val="1"/>
        <c:lblAlgn val="ctr"/>
        <c:lblOffset val="100"/>
        <c:noMultiLvlLbl val="0"/>
      </c:catAx>
      <c:valAx>
        <c:axId val="181871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872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4628</xdr:colOff>
      <xdr:row>1</xdr:row>
      <xdr:rowOff>0</xdr:rowOff>
    </xdr:from>
    <xdr:to>
      <xdr:col>12</xdr:col>
      <xdr:colOff>15240</xdr:colOff>
      <xdr:row>19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28FAD5-2C72-A90C-AD9C-44413D1F3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128260</xdr:colOff>
      <xdr:row>0</xdr:row>
      <xdr:rowOff>162710</xdr:rowOff>
    </xdr:from>
    <xdr:to>
      <xdr:col>16</xdr:col>
      <xdr:colOff>112122</xdr:colOff>
      <xdr:row>20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E7D4D13-9F79-4253-B727-4D74D436A2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7620</xdr:colOff>
      <xdr:row>22</xdr:row>
      <xdr:rowOff>0</xdr:rowOff>
    </xdr:from>
    <xdr:to>
      <xdr:col>14</xdr:col>
      <xdr:colOff>160020</xdr:colOff>
      <xdr:row>40</xdr:row>
      <xdr:rowOff>7620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8C40873-9D14-4D52-B265-BAEFE27102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648474</xdr:colOff>
      <xdr:row>21</xdr:row>
      <xdr:rowOff>170369</xdr:rowOff>
    </xdr:from>
    <xdr:to>
      <xdr:col>21</xdr:col>
      <xdr:colOff>662940</xdr:colOff>
      <xdr:row>40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2D104C0-5A2F-4DB5-969C-9F7F93CFFB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228024</xdr:colOff>
      <xdr:row>1</xdr:row>
      <xdr:rowOff>10311</xdr:rowOff>
    </xdr:from>
    <xdr:to>
      <xdr:col>23</xdr:col>
      <xdr:colOff>205741</xdr:colOff>
      <xdr:row>19</xdr:row>
      <xdr:rowOff>166255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B2E1A7C1-1930-4DAA-9146-B05AE5661E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502022</xdr:colOff>
      <xdr:row>0</xdr:row>
      <xdr:rowOff>172571</xdr:rowOff>
    </xdr:from>
    <xdr:to>
      <xdr:col>30</xdr:col>
      <xdr:colOff>496421</xdr:colOff>
      <xdr:row>18</xdr:row>
      <xdr:rowOff>151279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E45482-F5D3-454E-A0B5-258278F8C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23</xdr:col>
      <xdr:colOff>497093</xdr:colOff>
      <xdr:row>18</xdr:row>
      <xdr:rowOff>148590</xdr:rowOff>
    </xdr:from>
    <xdr:to>
      <xdr:col>30</xdr:col>
      <xdr:colOff>495301</xdr:colOff>
      <xdr:row>32</xdr:row>
      <xdr:rowOff>148589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F9657B-3BCF-4DC2-8767-13768B929C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12518</xdr:colOff>
      <xdr:row>62</xdr:row>
      <xdr:rowOff>22316</xdr:rowOff>
    </xdr:from>
    <xdr:to>
      <xdr:col>14</xdr:col>
      <xdr:colOff>202473</xdr:colOff>
      <xdr:row>80</xdr:row>
      <xdr:rowOff>27207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149F61-39DE-4E0C-B7B2-A335C20DD5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10883</xdr:colOff>
      <xdr:row>41</xdr:row>
      <xdr:rowOff>0</xdr:rowOff>
    </xdr:from>
    <xdr:to>
      <xdr:col>17</xdr:col>
      <xdr:colOff>8964</xdr:colOff>
      <xdr:row>61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C62690-E221-4897-A770-F36486739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274320</xdr:colOff>
      <xdr:row>41</xdr:row>
      <xdr:rowOff>102325</xdr:rowOff>
    </xdr:from>
    <xdr:to>
      <xdr:col>28</xdr:col>
      <xdr:colOff>296091</xdr:colOff>
      <xdr:row>59</xdr:row>
      <xdr:rowOff>97362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31BA03E-BBCB-4371-9506-0F25711451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15</xdr:col>
      <xdr:colOff>1</xdr:colOff>
      <xdr:row>62</xdr:row>
      <xdr:rowOff>0</xdr:rowOff>
    </xdr:from>
    <xdr:to>
      <xdr:col>21</xdr:col>
      <xdr:colOff>289560</xdr:colOff>
      <xdr:row>80</xdr:row>
      <xdr:rowOff>4891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4404CE-C754-4541-B658-887407E118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0</xdr:colOff>
      <xdr:row>62</xdr:row>
      <xdr:rowOff>0</xdr:rowOff>
    </xdr:from>
    <xdr:to>
      <xdr:col>28</xdr:col>
      <xdr:colOff>381000</xdr:colOff>
      <xdr:row>80</xdr:row>
      <xdr:rowOff>4891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7DBFCA3-1D4D-40A2-951E-8D2B1A8D5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29</xdr:col>
      <xdr:colOff>0</xdr:colOff>
      <xdr:row>62</xdr:row>
      <xdr:rowOff>0</xdr:rowOff>
    </xdr:from>
    <xdr:to>
      <xdr:col>35</xdr:col>
      <xdr:colOff>106679</xdr:colOff>
      <xdr:row>80</xdr:row>
      <xdr:rowOff>4891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918C6B8D-5BCB-4AC0-AE95-370F4D4F95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10</xdr:col>
      <xdr:colOff>315071</xdr:colOff>
      <xdr:row>21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84964A-8972-43A8-B8AF-7B6DC25BD1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19050</xdr:colOff>
      <xdr:row>0</xdr:row>
      <xdr:rowOff>0</xdr:rowOff>
    </xdr:from>
    <xdr:to>
      <xdr:col>14</xdr:col>
      <xdr:colOff>365760</xdr:colOff>
      <xdr:row>19</xdr:row>
      <xdr:rowOff>137160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C52B8DC-EFE8-6F51-A499-8E3F9C8270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34</xdr:row>
      <xdr:rowOff>0</xdr:rowOff>
    </xdr:from>
    <xdr:to>
      <xdr:col>13</xdr:col>
      <xdr:colOff>662940</xdr:colOff>
      <xdr:row>52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A7B26E-9AE7-4CDF-9899-9F79EDCF3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198120</xdr:colOff>
      <xdr:row>34</xdr:row>
      <xdr:rowOff>0</xdr:rowOff>
    </xdr:from>
    <xdr:to>
      <xdr:col>23</xdr:col>
      <xdr:colOff>190500</xdr:colOff>
      <xdr:row>52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708768-4C38-449F-9041-772385A977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659130</xdr:colOff>
      <xdr:row>0</xdr:row>
      <xdr:rowOff>0</xdr:rowOff>
    </xdr:from>
    <xdr:to>
      <xdr:col>9</xdr:col>
      <xdr:colOff>464820</xdr:colOff>
      <xdr:row>15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5CCB42-4CCB-24B2-919F-05D702412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</xdr:colOff>
      <xdr:row>18</xdr:row>
      <xdr:rowOff>7620</xdr:rowOff>
    </xdr:from>
    <xdr:to>
      <xdr:col>13</xdr:col>
      <xdr:colOff>365760</xdr:colOff>
      <xdr:row>34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47AE3A-4977-2BAB-89EF-073E3EA44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7620</xdr:colOff>
      <xdr:row>18</xdr:row>
      <xdr:rowOff>7620</xdr:rowOff>
    </xdr:from>
    <xdr:to>
      <xdr:col>22</xdr:col>
      <xdr:colOff>342900</xdr:colOff>
      <xdr:row>34</xdr:row>
      <xdr:rowOff>15240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C5C7EC-C609-43A9-B33D-B63D3B0192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</xdr:colOff>
      <xdr:row>0</xdr:row>
      <xdr:rowOff>7620</xdr:rowOff>
    </xdr:from>
    <xdr:to>
      <xdr:col>16</xdr:col>
      <xdr:colOff>655320</xdr:colOff>
      <xdr:row>21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060382-D59E-8C7D-FB05-47DE00567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22</xdr:row>
      <xdr:rowOff>22860</xdr:rowOff>
    </xdr:from>
    <xdr:to>
      <xdr:col>15</xdr:col>
      <xdr:colOff>666750</xdr:colOff>
      <xdr:row>41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DE3E9B8-D84A-4DDF-AFA9-38F927255B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03FB5-2783-4CA2-986F-761726446235}">
  <dimension ref="A1:F57"/>
  <sheetViews>
    <sheetView tabSelected="1" zoomScaleNormal="100" workbookViewId="0">
      <selection activeCell="AH59" sqref="AH59"/>
    </sheetView>
  </sheetViews>
  <sheetFormatPr defaultRowHeight="13.8"/>
  <cols>
    <col min="1" max="1" width="27.796875" bestFit="1" customWidth="1"/>
    <col min="2" max="3" width="17.796875" style="2" bestFit="1" customWidth="1"/>
    <col min="5" max="5" width="13.296875" bestFit="1" customWidth="1"/>
  </cols>
  <sheetData>
    <row r="1" spans="1:6" ht="14.4">
      <c r="A1" s="7" t="s">
        <v>3</v>
      </c>
      <c r="B1" s="7" t="s">
        <v>19</v>
      </c>
      <c r="C1" s="7" t="s">
        <v>18</v>
      </c>
      <c r="D1" s="7" t="s">
        <v>2</v>
      </c>
      <c r="E1" s="7" t="s">
        <v>57</v>
      </c>
      <c r="F1" s="7"/>
    </row>
    <row r="2" spans="1:6">
      <c r="A2" t="s">
        <v>30</v>
      </c>
    </row>
    <row r="3" spans="1:6">
      <c r="A3" s="3" t="s">
        <v>0</v>
      </c>
      <c r="B3" s="4">
        <v>0.8</v>
      </c>
      <c r="C3" s="4">
        <f>1-B3</f>
        <v>0.19999999999999996</v>
      </c>
      <c r="D3" s="5">
        <v>5</v>
      </c>
      <c r="E3" s="8">
        <f>D3/129</f>
        <v>3.875968992248062E-2</v>
      </c>
    </row>
    <row r="4" spans="1:6">
      <c r="A4" s="3" t="s">
        <v>1</v>
      </c>
      <c r="B4" s="4">
        <v>0.8387</v>
      </c>
      <c r="C4" s="4">
        <f>1-B4</f>
        <v>0.1613</v>
      </c>
      <c r="D4" s="5">
        <v>124</v>
      </c>
      <c r="E4" s="8">
        <f>D4/129</f>
        <v>0.96124031007751942</v>
      </c>
    </row>
    <row r="5" spans="1:6">
      <c r="A5" t="s">
        <v>56</v>
      </c>
      <c r="B5" s="4"/>
      <c r="C5" s="4"/>
      <c r="D5" s="5"/>
      <c r="E5" s="8"/>
    </row>
    <row r="6" spans="1:6">
      <c r="A6" s="3" t="s">
        <v>4</v>
      </c>
      <c r="B6" s="4">
        <v>0.84799999999999998</v>
      </c>
      <c r="C6" s="4">
        <f>1-B6</f>
        <v>0.15200000000000002</v>
      </c>
      <c r="D6" s="5">
        <v>125</v>
      </c>
      <c r="E6" s="8">
        <f t="shared" ref="E6:E31" si="0">D6/129</f>
        <v>0.96899224806201545</v>
      </c>
    </row>
    <row r="7" spans="1:6">
      <c r="A7" s="3" t="s">
        <v>5</v>
      </c>
      <c r="B7" s="4">
        <v>0.5</v>
      </c>
      <c r="C7" s="4">
        <f>1-B7</f>
        <v>0.5</v>
      </c>
      <c r="D7" s="5">
        <v>4</v>
      </c>
      <c r="E7" s="8">
        <f t="shared" si="0"/>
        <v>3.1007751937984496E-2</v>
      </c>
    </row>
    <row r="8" spans="1:6">
      <c r="A8" t="s">
        <v>6</v>
      </c>
      <c r="B8" s="4"/>
      <c r="C8" s="4"/>
      <c r="D8" s="5"/>
      <c r="E8" s="8"/>
    </row>
    <row r="9" spans="1:6">
      <c r="A9" s="3" t="s">
        <v>7</v>
      </c>
      <c r="B9" s="4">
        <v>0.83530000000000004</v>
      </c>
      <c r="C9" s="4">
        <f>1-B9</f>
        <v>0.16469999999999996</v>
      </c>
      <c r="D9" s="5">
        <v>85</v>
      </c>
      <c r="E9" s="8">
        <f t="shared" si="0"/>
        <v>0.65891472868217049</v>
      </c>
    </row>
    <row r="10" spans="1:6">
      <c r="A10" s="3" t="s">
        <v>8</v>
      </c>
      <c r="B10" s="4">
        <v>0.83330000000000004</v>
      </c>
      <c r="C10" s="4">
        <f t="shared" ref="C10:C13" si="1">1-B10</f>
        <v>0.16669999999999996</v>
      </c>
      <c r="D10" s="5">
        <v>26</v>
      </c>
      <c r="E10" s="8">
        <f t="shared" si="0"/>
        <v>0.20155038759689922</v>
      </c>
    </row>
    <row r="11" spans="1:6">
      <c r="A11" s="3" t="s">
        <v>9</v>
      </c>
      <c r="B11" s="4">
        <v>0.88460000000000005</v>
      </c>
      <c r="C11" s="4">
        <f t="shared" si="1"/>
        <v>0.11539999999999995</v>
      </c>
      <c r="D11" s="5">
        <v>3</v>
      </c>
      <c r="E11" s="8">
        <f t="shared" si="0"/>
        <v>2.3255813953488372E-2</v>
      </c>
    </row>
    <row r="12" spans="1:6">
      <c r="A12" s="3" t="s">
        <v>10</v>
      </c>
      <c r="B12" s="4">
        <v>0.66669999999999996</v>
      </c>
      <c r="C12" s="4">
        <f t="shared" si="1"/>
        <v>0.33330000000000004</v>
      </c>
      <c r="D12" s="5">
        <v>12</v>
      </c>
      <c r="E12" s="8">
        <f t="shared" si="0"/>
        <v>9.3023255813953487E-2</v>
      </c>
    </row>
    <row r="13" spans="1:6">
      <c r="A13" s="3" t="s">
        <v>16</v>
      </c>
      <c r="B13" s="4">
        <v>0.66669999999999996</v>
      </c>
      <c r="C13" s="4">
        <f t="shared" si="1"/>
        <v>0.33330000000000004</v>
      </c>
      <c r="D13" s="5">
        <v>3</v>
      </c>
      <c r="E13" s="8">
        <f t="shared" si="0"/>
        <v>2.3255813953488372E-2</v>
      </c>
    </row>
    <row r="14" spans="1:6">
      <c r="A14" t="s">
        <v>11</v>
      </c>
      <c r="B14" s="4"/>
      <c r="C14" s="4"/>
      <c r="D14" s="5"/>
      <c r="E14" s="8"/>
    </row>
    <row r="15" spans="1:6">
      <c r="A15" s="3" t="s">
        <v>12</v>
      </c>
      <c r="B15" s="4">
        <v>0.83479999999999999</v>
      </c>
      <c r="C15" s="4">
        <f>1-B15</f>
        <v>0.16520000000000001</v>
      </c>
      <c r="D15" s="5">
        <v>115</v>
      </c>
      <c r="E15" s="8">
        <f t="shared" si="0"/>
        <v>0.89147286821705429</v>
      </c>
    </row>
    <row r="16" spans="1:6">
      <c r="A16" s="3" t="s">
        <v>13</v>
      </c>
      <c r="B16" s="4">
        <v>0.66669999999999996</v>
      </c>
      <c r="C16" s="4">
        <f t="shared" ref="C16:C18" si="2">1-B16</f>
        <v>0.33330000000000004</v>
      </c>
      <c r="D16" s="5">
        <v>3</v>
      </c>
      <c r="E16" s="8">
        <f t="shared" si="0"/>
        <v>2.3255813953488372E-2</v>
      </c>
    </row>
    <row r="17" spans="1:5">
      <c r="A17" s="3" t="s">
        <v>14</v>
      </c>
      <c r="B17" s="4">
        <v>0.9</v>
      </c>
      <c r="C17" s="4">
        <f t="shared" si="2"/>
        <v>9.9999999999999978E-2</v>
      </c>
      <c r="D17" s="5">
        <v>10</v>
      </c>
      <c r="E17" s="8">
        <f t="shared" si="0"/>
        <v>7.7519379844961239E-2</v>
      </c>
    </row>
    <row r="18" spans="1:5">
      <c r="A18" s="3" t="s">
        <v>15</v>
      </c>
      <c r="B18" s="4">
        <v>1</v>
      </c>
      <c r="C18" s="4">
        <f t="shared" si="2"/>
        <v>0</v>
      </c>
      <c r="D18" s="5">
        <v>1</v>
      </c>
      <c r="E18" s="8">
        <f t="shared" si="0"/>
        <v>7.7519379844961239E-3</v>
      </c>
    </row>
    <row r="19" spans="1:5">
      <c r="A19" t="s">
        <v>17</v>
      </c>
      <c r="B19" s="4"/>
      <c r="C19" s="4"/>
      <c r="D19" s="5"/>
      <c r="E19" s="8"/>
    </row>
    <row r="20" spans="1:5">
      <c r="A20" s="3" t="s">
        <v>20</v>
      </c>
      <c r="B20" s="4">
        <v>0.75</v>
      </c>
      <c r="C20" s="4">
        <f>1-B20</f>
        <v>0.25</v>
      </c>
      <c r="D20" s="5">
        <v>8</v>
      </c>
      <c r="E20" s="8">
        <f t="shared" si="0"/>
        <v>6.2015503875968991E-2</v>
      </c>
    </row>
    <row r="21" spans="1:5">
      <c r="A21" s="3" t="s">
        <v>21</v>
      </c>
      <c r="B21" s="4">
        <v>0.75</v>
      </c>
      <c r="C21" s="4">
        <f t="shared" ref="C21:C27" si="3">1-B21</f>
        <v>0.25</v>
      </c>
      <c r="D21" s="5">
        <v>12</v>
      </c>
      <c r="E21" s="8">
        <f t="shared" si="0"/>
        <v>9.3023255813953487E-2</v>
      </c>
    </row>
    <row r="22" spans="1:5">
      <c r="A22" s="3" t="s">
        <v>22</v>
      </c>
      <c r="B22" s="4">
        <v>0.92589999999999995</v>
      </c>
      <c r="C22" s="4">
        <f t="shared" si="3"/>
        <v>7.4100000000000055E-2</v>
      </c>
      <c r="D22" s="5">
        <v>27</v>
      </c>
      <c r="E22" s="8">
        <f t="shared" si="0"/>
        <v>0.20930232558139536</v>
      </c>
    </row>
    <row r="23" spans="1:5">
      <c r="A23" s="3" t="s">
        <v>23</v>
      </c>
      <c r="B23" s="4">
        <v>0.9</v>
      </c>
      <c r="C23" s="4">
        <f t="shared" si="3"/>
        <v>9.9999999999999978E-2</v>
      </c>
      <c r="D23" s="5">
        <v>40</v>
      </c>
      <c r="E23" s="8">
        <f t="shared" si="0"/>
        <v>0.31007751937984496</v>
      </c>
    </row>
    <row r="24" spans="1:5">
      <c r="A24" s="3" t="s">
        <v>24</v>
      </c>
      <c r="B24" s="4">
        <v>0.89470000000000005</v>
      </c>
      <c r="C24" s="4">
        <f t="shared" si="3"/>
        <v>0.10529999999999995</v>
      </c>
      <c r="D24" s="5">
        <v>19</v>
      </c>
      <c r="E24" s="8">
        <f t="shared" si="0"/>
        <v>0.14728682170542637</v>
      </c>
    </row>
    <row r="25" spans="1:5">
      <c r="A25" s="3" t="s">
        <v>25</v>
      </c>
      <c r="B25" s="4">
        <v>0.63160000000000005</v>
      </c>
      <c r="C25" s="4">
        <f t="shared" si="3"/>
        <v>0.36839999999999995</v>
      </c>
      <c r="D25" s="5">
        <v>19</v>
      </c>
      <c r="E25" s="8">
        <f t="shared" si="0"/>
        <v>0.14728682170542637</v>
      </c>
    </row>
    <row r="26" spans="1:5">
      <c r="A26" s="3" t="s">
        <v>26</v>
      </c>
      <c r="B26" s="4">
        <v>0.5</v>
      </c>
      <c r="C26" s="4">
        <f t="shared" si="3"/>
        <v>0.5</v>
      </c>
      <c r="D26" s="5">
        <v>2</v>
      </c>
      <c r="E26" s="8">
        <f t="shared" si="0"/>
        <v>1.5503875968992248E-2</v>
      </c>
    </row>
    <row r="27" spans="1:5">
      <c r="A27" s="3" t="s">
        <v>16</v>
      </c>
      <c r="B27" s="4">
        <v>1</v>
      </c>
      <c r="C27" s="4">
        <f t="shared" si="3"/>
        <v>0</v>
      </c>
      <c r="D27" s="5">
        <v>2</v>
      </c>
      <c r="E27" s="8">
        <f t="shared" si="0"/>
        <v>1.5503875968992248E-2</v>
      </c>
    </row>
    <row r="28" spans="1:5">
      <c r="A28" s="6" t="s">
        <v>58</v>
      </c>
      <c r="E28" s="8"/>
    </row>
    <row r="29" spans="1:5">
      <c r="A29" s="3" t="s">
        <v>29</v>
      </c>
      <c r="B29" s="2">
        <v>0.74</v>
      </c>
      <c r="C29" s="2">
        <f>1-B29</f>
        <v>0.26</v>
      </c>
      <c r="D29">
        <v>50</v>
      </c>
      <c r="E29" s="8">
        <f t="shared" si="0"/>
        <v>0.38759689922480622</v>
      </c>
    </row>
    <row r="30" spans="1:5">
      <c r="A30" s="3" t="s">
        <v>27</v>
      </c>
      <c r="B30" s="2">
        <v>0.86050000000000004</v>
      </c>
      <c r="C30" s="2">
        <f t="shared" ref="C30:C31" si="4">1-B30</f>
        <v>0.13949999999999996</v>
      </c>
      <c r="D30" s="5">
        <v>43</v>
      </c>
      <c r="E30" s="8">
        <f t="shared" si="0"/>
        <v>0.33333333333333331</v>
      </c>
    </row>
    <row r="31" spans="1:5">
      <c r="A31" s="3" t="s">
        <v>28</v>
      </c>
      <c r="B31" s="2">
        <v>0.94440000000000002</v>
      </c>
      <c r="C31" s="2">
        <f t="shared" si="4"/>
        <v>5.5599999999999983E-2</v>
      </c>
      <c r="D31">
        <v>36</v>
      </c>
      <c r="E31" s="8">
        <f t="shared" si="0"/>
        <v>0.27906976744186046</v>
      </c>
    </row>
    <row r="32" spans="1:5">
      <c r="A32" s="6" t="s">
        <v>59</v>
      </c>
    </row>
    <row r="33" spans="1:5">
      <c r="A33" s="3" t="s">
        <v>61</v>
      </c>
      <c r="B33" s="2">
        <v>0.84209999999999996</v>
      </c>
      <c r="C33" s="2">
        <f>1-B33</f>
        <v>0.15790000000000004</v>
      </c>
      <c r="D33">
        <v>76</v>
      </c>
      <c r="E33" s="2">
        <f>D33/129</f>
        <v>0.58914728682170547</v>
      </c>
    </row>
    <row r="34" spans="1:5">
      <c r="A34" s="3" t="s">
        <v>60</v>
      </c>
      <c r="B34" s="2">
        <v>0.84440000000000004</v>
      </c>
      <c r="C34" s="2">
        <f t="shared" ref="C34:C35" si="5">1-B34</f>
        <v>0.15559999999999996</v>
      </c>
      <c r="D34">
        <v>45</v>
      </c>
      <c r="E34" s="2">
        <f t="shared" ref="E34:E35" si="6">D34/129</f>
        <v>0.34883720930232559</v>
      </c>
    </row>
    <row r="35" spans="1:5">
      <c r="A35" s="3" t="s">
        <v>62</v>
      </c>
      <c r="B35" s="2">
        <v>0.75</v>
      </c>
      <c r="C35" s="2">
        <f t="shared" si="5"/>
        <v>0.25</v>
      </c>
      <c r="D35">
        <v>8</v>
      </c>
      <c r="E35" s="2">
        <f t="shared" si="6"/>
        <v>6.2015503875968991E-2</v>
      </c>
    </row>
    <row r="36" spans="1:5">
      <c r="A36" s="6" t="s">
        <v>51</v>
      </c>
    </row>
    <row r="37" spans="1:5">
      <c r="A37" s="3" t="s">
        <v>52</v>
      </c>
      <c r="B37" s="2">
        <v>0.90910000000000002</v>
      </c>
      <c r="C37" s="2">
        <f>1-B37</f>
        <v>9.0899999999999981E-2</v>
      </c>
      <c r="D37">
        <v>11</v>
      </c>
      <c r="E37" s="2">
        <f>D37/129</f>
        <v>8.5271317829457363E-2</v>
      </c>
    </row>
    <row r="38" spans="1:5">
      <c r="A38" s="3" t="s">
        <v>53</v>
      </c>
      <c r="B38" s="2">
        <v>0.93330000000000002</v>
      </c>
      <c r="C38" s="2">
        <f t="shared" ref="C38:C40" si="7">1-B38</f>
        <v>6.6699999999999982E-2</v>
      </c>
      <c r="D38">
        <v>15</v>
      </c>
      <c r="E38" s="2">
        <f t="shared" ref="E38:E40" si="8">D38/129</f>
        <v>0.11627906976744186</v>
      </c>
    </row>
    <row r="39" spans="1:5">
      <c r="A39" s="3" t="s">
        <v>54</v>
      </c>
      <c r="B39" s="2">
        <v>0.89290000000000003</v>
      </c>
      <c r="C39" s="2">
        <f t="shared" si="7"/>
        <v>0.10709999999999997</v>
      </c>
      <c r="D39">
        <v>28</v>
      </c>
      <c r="E39" s="2">
        <f t="shared" si="8"/>
        <v>0.21705426356589147</v>
      </c>
    </row>
    <row r="40" spans="1:5">
      <c r="A40" s="3" t="s">
        <v>55</v>
      </c>
      <c r="B40" s="2">
        <v>0.78669999999999995</v>
      </c>
      <c r="C40" s="2">
        <f t="shared" si="7"/>
        <v>0.21330000000000005</v>
      </c>
      <c r="D40">
        <v>75</v>
      </c>
      <c r="E40" s="2">
        <f t="shared" si="8"/>
        <v>0.58139534883720934</v>
      </c>
    </row>
    <row r="41" spans="1:5">
      <c r="A41" s="6" t="s">
        <v>63</v>
      </c>
    </row>
    <row r="42" spans="1:5">
      <c r="A42" s="3" t="s">
        <v>64</v>
      </c>
      <c r="B42" s="2">
        <v>0.77780000000000005</v>
      </c>
      <c r="C42" s="2">
        <f>1-B42</f>
        <v>0.22219999999999995</v>
      </c>
      <c r="D42">
        <v>9</v>
      </c>
      <c r="E42" s="2">
        <f>D42/129</f>
        <v>6.9767441860465115E-2</v>
      </c>
    </row>
    <row r="43" spans="1:5">
      <c r="A43" s="3" t="s">
        <v>65</v>
      </c>
      <c r="B43" s="2">
        <v>0.95450000000000002</v>
      </c>
      <c r="C43" s="2">
        <f t="shared" ref="C43:C50" si="9">1-B43</f>
        <v>4.5499999999999985E-2</v>
      </c>
      <c r="D43">
        <v>22</v>
      </c>
      <c r="E43" s="2">
        <f t="shared" ref="E43:E50" si="10">D43/129</f>
        <v>0.17054263565891473</v>
      </c>
    </row>
    <row r="44" spans="1:5">
      <c r="A44" s="9" t="s">
        <v>66</v>
      </c>
      <c r="B44" s="2">
        <v>0.90620000000000001</v>
      </c>
      <c r="C44" s="2">
        <f t="shared" si="9"/>
        <v>9.3799999999999994E-2</v>
      </c>
      <c r="D44">
        <v>32</v>
      </c>
      <c r="E44" s="2">
        <f t="shared" si="10"/>
        <v>0.24806201550387597</v>
      </c>
    </row>
    <row r="45" spans="1:5">
      <c r="A45" s="3" t="s">
        <v>67</v>
      </c>
      <c r="B45" s="2">
        <v>0.94440000000000002</v>
      </c>
      <c r="C45" s="2">
        <f t="shared" si="9"/>
        <v>5.5599999999999983E-2</v>
      </c>
      <c r="D45">
        <v>18</v>
      </c>
      <c r="E45" s="2">
        <f t="shared" si="10"/>
        <v>0.13953488372093023</v>
      </c>
    </row>
    <row r="46" spans="1:5">
      <c r="A46" s="9" t="s">
        <v>68</v>
      </c>
      <c r="B46" s="2">
        <v>0.72729999999999995</v>
      </c>
      <c r="C46" s="2">
        <f t="shared" si="9"/>
        <v>0.27270000000000005</v>
      </c>
      <c r="D46">
        <v>11</v>
      </c>
      <c r="E46" s="2">
        <f t="shared" si="10"/>
        <v>8.5271317829457363E-2</v>
      </c>
    </row>
    <row r="47" spans="1:5">
      <c r="A47" s="9" t="s">
        <v>69</v>
      </c>
      <c r="B47" s="2">
        <v>1</v>
      </c>
      <c r="C47" s="2">
        <f t="shared" si="9"/>
        <v>0</v>
      </c>
      <c r="D47">
        <v>12</v>
      </c>
      <c r="E47" s="2">
        <f t="shared" si="10"/>
        <v>9.3023255813953487E-2</v>
      </c>
    </row>
    <row r="48" spans="1:5">
      <c r="A48" s="9" t="s">
        <v>70</v>
      </c>
      <c r="B48" s="2">
        <v>0.64290000000000003</v>
      </c>
      <c r="C48" s="2">
        <f t="shared" si="9"/>
        <v>0.35709999999999997</v>
      </c>
      <c r="D48">
        <v>14</v>
      </c>
      <c r="E48" s="2">
        <f t="shared" si="10"/>
        <v>0.10852713178294573</v>
      </c>
    </row>
    <row r="49" spans="1:5">
      <c r="A49" s="9" t="s">
        <v>71</v>
      </c>
      <c r="B49" s="2">
        <v>0.33329999999999999</v>
      </c>
      <c r="C49" s="2">
        <f t="shared" si="9"/>
        <v>0.66670000000000007</v>
      </c>
      <c r="D49">
        <v>6</v>
      </c>
      <c r="E49" s="2">
        <f t="shared" si="10"/>
        <v>4.6511627906976744E-2</v>
      </c>
    </row>
    <row r="50" spans="1:5">
      <c r="A50" s="3" t="s">
        <v>16</v>
      </c>
      <c r="B50" s="2">
        <v>0.6</v>
      </c>
      <c r="C50" s="2">
        <f t="shared" si="9"/>
        <v>0.4</v>
      </c>
      <c r="D50">
        <v>5</v>
      </c>
      <c r="E50" s="2">
        <f t="shared" si="10"/>
        <v>3.875968992248062E-2</v>
      </c>
    </row>
    <row r="51" spans="1:5">
      <c r="A51" s="10" t="s">
        <v>72</v>
      </c>
    </row>
    <row r="52" spans="1:5">
      <c r="A52" s="9" t="s">
        <v>73</v>
      </c>
      <c r="B52" s="2">
        <v>0.75339999999999996</v>
      </c>
      <c r="C52" s="2">
        <f>1-B52</f>
        <v>0.24660000000000004</v>
      </c>
      <c r="D52">
        <v>73</v>
      </c>
      <c r="E52" s="2">
        <f>D52/129</f>
        <v>0.56589147286821706</v>
      </c>
    </row>
    <row r="53" spans="1:5">
      <c r="A53" s="9" t="s">
        <v>62</v>
      </c>
      <c r="B53" s="2">
        <v>0.94640000000000002</v>
      </c>
      <c r="C53" s="2">
        <f>1-B53</f>
        <v>5.3599999999999981E-2</v>
      </c>
      <c r="D53">
        <v>56</v>
      </c>
      <c r="E53" s="2">
        <f>D53/129</f>
        <v>0.43410852713178294</v>
      </c>
    </row>
    <row r="54" spans="1:5">
      <c r="A54" s="10" t="s">
        <v>74</v>
      </c>
    </row>
    <row r="55" spans="1:5">
      <c r="A55" s="9" t="s">
        <v>75</v>
      </c>
      <c r="B55" s="2">
        <v>0.95</v>
      </c>
      <c r="C55" s="2">
        <f>1-B55</f>
        <v>5.0000000000000044E-2</v>
      </c>
      <c r="D55">
        <v>40</v>
      </c>
      <c r="E55" s="2">
        <f>D55/129</f>
        <v>0.31007751937984496</v>
      </c>
    </row>
    <row r="56" spans="1:5">
      <c r="A56" s="9" t="s">
        <v>76</v>
      </c>
      <c r="B56" s="2">
        <v>0.77380000000000004</v>
      </c>
      <c r="C56" s="2">
        <f t="shared" ref="C56:C57" si="11">1-B56</f>
        <v>0.22619999999999996</v>
      </c>
      <c r="D56">
        <v>84</v>
      </c>
      <c r="E56" s="2">
        <f t="shared" ref="E56:E57" si="12">D56/129</f>
        <v>0.65116279069767447</v>
      </c>
    </row>
    <row r="57" spans="1:5">
      <c r="A57" s="9" t="s">
        <v>16</v>
      </c>
      <c r="B57" s="2">
        <v>1</v>
      </c>
      <c r="C57" s="2">
        <f t="shared" si="11"/>
        <v>0</v>
      </c>
      <c r="D57">
        <v>5</v>
      </c>
      <c r="E57" s="2">
        <f t="shared" si="12"/>
        <v>3.875968992248062E-2</v>
      </c>
    </row>
  </sheetData>
  <pageMargins left="0.7" right="0.7" top="0.75" bottom="0.75" header="0.3" footer="0.3"/>
  <pageSetup paperSize="9" orientation="portrait" horizontalDpi="30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EFC55-28BA-4F54-B19D-0FD86B450CEE}">
  <dimension ref="A1:E57"/>
  <sheetViews>
    <sheetView workbookViewId="0">
      <selection activeCell="F3" sqref="F3"/>
    </sheetView>
  </sheetViews>
  <sheetFormatPr defaultRowHeight="13.8"/>
  <cols>
    <col min="1" max="1" width="26.3984375" customWidth="1"/>
    <col min="2" max="2" width="14.09765625" bestFit="1" customWidth="1"/>
    <col min="3" max="3" width="16.69921875" bestFit="1" customWidth="1"/>
    <col min="4" max="4" width="15" bestFit="1" customWidth="1"/>
  </cols>
  <sheetData>
    <row r="1" spans="1:4" ht="16.8">
      <c r="A1" s="14" t="s">
        <v>3</v>
      </c>
      <c r="B1" s="14" t="s">
        <v>19</v>
      </c>
      <c r="C1" s="14" t="s">
        <v>18</v>
      </c>
      <c r="D1" s="14" t="s">
        <v>99</v>
      </c>
    </row>
    <row r="2" spans="1:4" ht="16.8">
      <c r="A2" s="15" t="s">
        <v>30</v>
      </c>
      <c r="B2" s="13"/>
      <c r="C2" s="13"/>
      <c r="D2" s="13"/>
    </row>
    <row r="3" spans="1:4" s="19" customFormat="1" ht="16.8">
      <c r="A3" s="16" t="s">
        <v>0</v>
      </c>
      <c r="B3" s="17">
        <v>0.8</v>
      </c>
      <c r="C3" s="17">
        <v>0.2</v>
      </c>
      <c r="D3" s="18" t="s">
        <v>100</v>
      </c>
    </row>
    <row r="4" spans="1:4" s="19" customFormat="1" ht="16.8">
      <c r="A4" s="16" t="s">
        <v>1</v>
      </c>
      <c r="B4" s="17">
        <v>0.8387</v>
      </c>
      <c r="C4" s="17">
        <v>0.1613</v>
      </c>
      <c r="D4" s="18" t="s">
        <v>101</v>
      </c>
    </row>
    <row r="5" spans="1:4" ht="16.8">
      <c r="A5" s="15" t="s">
        <v>56</v>
      </c>
      <c r="B5" s="12"/>
      <c r="C5" s="12"/>
      <c r="D5" s="12"/>
    </row>
    <row r="6" spans="1:4" s="19" customFormat="1" ht="16.8">
      <c r="A6" s="16" t="s">
        <v>4</v>
      </c>
      <c r="B6" s="17">
        <v>0.84799999999999998</v>
      </c>
      <c r="C6" s="17">
        <v>0.152</v>
      </c>
      <c r="D6" s="18" t="s">
        <v>102</v>
      </c>
    </row>
    <row r="7" spans="1:4" s="19" customFormat="1" ht="16.8">
      <c r="A7" s="16" t="s">
        <v>5</v>
      </c>
      <c r="B7" s="17">
        <v>0.5</v>
      </c>
      <c r="C7" s="17">
        <v>0.5</v>
      </c>
      <c r="D7" s="18" t="s">
        <v>103</v>
      </c>
    </row>
    <row r="8" spans="1:4" ht="16.8">
      <c r="A8" s="15" t="s">
        <v>6</v>
      </c>
      <c r="B8" s="12"/>
      <c r="C8" s="12"/>
      <c r="D8" s="12"/>
    </row>
    <row r="9" spans="1:4" s="19" customFormat="1" ht="16.8">
      <c r="A9" s="16" t="s">
        <v>7</v>
      </c>
      <c r="B9" s="17">
        <v>0.83530000000000004</v>
      </c>
      <c r="C9" s="17">
        <v>0.16470000000000001</v>
      </c>
      <c r="D9" s="18" t="s">
        <v>104</v>
      </c>
    </row>
    <row r="10" spans="1:4" s="19" customFormat="1" ht="16.8">
      <c r="A10" s="16" t="s">
        <v>8</v>
      </c>
      <c r="B10" s="17">
        <v>0.83330000000000004</v>
      </c>
      <c r="C10" s="17">
        <v>0.16669999999999999</v>
      </c>
      <c r="D10" s="18" t="s">
        <v>105</v>
      </c>
    </row>
    <row r="11" spans="1:4" s="19" customFormat="1" ht="16.8">
      <c r="A11" s="16" t="s">
        <v>9</v>
      </c>
      <c r="B11" s="17">
        <v>0.88460000000000005</v>
      </c>
      <c r="C11" s="17">
        <v>0.1154</v>
      </c>
      <c r="D11" s="18" t="s">
        <v>106</v>
      </c>
    </row>
    <row r="12" spans="1:4" s="19" customFormat="1" ht="16.8">
      <c r="A12" s="16" t="s">
        <v>10</v>
      </c>
      <c r="B12" s="17">
        <v>0.66669999999999996</v>
      </c>
      <c r="C12" s="17">
        <v>0.33329999999999999</v>
      </c>
      <c r="D12" s="18" t="s">
        <v>107</v>
      </c>
    </row>
    <row r="13" spans="1:4" s="19" customFormat="1" ht="16.8">
      <c r="A13" s="16" t="s">
        <v>16</v>
      </c>
      <c r="B13" s="17">
        <v>1</v>
      </c>
      <c r="C13" s="17">
        <v>0</v>
      </c>
      <c r="D13" s="18" t="s">
        <v>110</v>
      </c>
    </row>
    <row r="14" spans="1:4" ht="16.8">
      <c r="A14" s="15" t="s">
        <v>11</v>
      </c>
      <c r="B14" s="12"/>
      <c r="C14" s="12"/>
      <c r="D14" s="12"/>
    </row>
    <row r="15" spans="1:4" s="19" customFormat="1" ht="16.8">
      <c r="A15" s="16" t="s">
        <v>12</v>
      </c>
      <c r="B15" s="17">
        <v>0.83479999999999999</v>
      </c>
      <c r="C15" s="17">
        <v>0.16520000000000001</v>
      </c>
      <c r="D15" s="18" t="s">
        <v>108</v>
      </c>
    </row>
    <row r="16" spans="1:4" s="19" customFormat="1" ht="16.8">
      <c r="A16" s="16" t="s">
        <v>14</v>
      </c>
      <c r="B16" s="17">
        <v>0.9</v>
      </c>
      <c r="C16" s="17">
        <v>0.1</v>
      </c>
      <c r="D16" s="18" t="s">
        <v>109</v>
      </c>
    </row>
    <row r="17" spans="1:4" s="19" customFormat="1" ht="16.8">
      <c r="A17" s="16" t="s">
        <v>13</v>
      </c>
      <c r="B17" s="17">
        <v>0.66669999999999996</v>
      </c>
      <c r="C17" s="17">
        <v>0.33329999999999999</v>
      </c>
      <c r="D17" s="18" t="s">
        <v>110</v>
      </c>
    </row>
    <row r="18" spans="1:4" s="19" customFormat="1" ht="16.8">
      <c r="A18" s="16" t="s">
        <v>15</v>
      </c>
      <c r="B18" s="17">
        <v>1</v>
      </c>
      <c r="C18" s="17">
        <v>0</v>
      </c>
      <c r="D18" s="18" t="s">
        <v>111</v>
      </c>
    </row>
    <row r="19" spans="1:4" ht="16.8">
      <c r="A19" s="15" t="s">
        <v>17</v>
      </c>
      <c r="B19" s="12"/>
      <c r="C19" s="12"/>
      <c r="D19" s="12"/>
    </row>
    <row r="20" spans="1:4" s="19" customFormat="1" ht="16.8">
      <c r="A20" s="16" t="s">
        <v>20</v>
      </c>
      <c r="B20" s="17">
        <v>0.75</v>
      </c>
      <c r="C20" s="17">
        <v>0.25</v>
      </c>
      <c r="D20" s="18" t="s">
        <v>112</v>
      </c>
    </row>
    <row r="21" spans="1:4" s="19" customFormat="1" ht="16.8">
      <c r="A21" s="16" t="s">
        <v>21</v>
      </c>
      <c r="B21" s="17">
        <v>0.75</v>
      </c>
      <c r="C21" s="17">
        <v>0.25</v>
      </c>
      <c r="D21" s="18" t="s">
        <v>107</v>
      </c>
    </row>
    <row r="22" spans="1:4" s="19" customFormat="1" ht="16.8">
      <c r="A22" s="16" t="s">
        <v>22</v>
      </c>
      <c r="B22" s="17">
        <v>0.92589999999999995</v>
      </c>
      <c r="C22" s="17">
        <v>7.4099999999999999E-2</v>
      </c>
      <c r="D22" s="18" t="s">
        <v>113</v>
      </c>
    </row>
    <row r="23" spans="1:4" s="19" customFormat="1" ht="16.8">
      <c r="A23" s="16" t="s">
        <v>23</v>
      </c>
      <c r="B23" s="17">
        <v>0.9</v>
      </c>
      <c r="C23" s="17">
        <v>0.1</v>
      </c>
      <c r="D23" s="18" t="s">
        <v>114</v>
      </c>
    </row>
    <row r="24" spans="1:4" s="19" customFormat="1" ht="16.8">
      <c r="A24" s="16" t="s">
        <v>24</v>
      </c>
      <c r="B24" s="17">
        <v>0.89470000000000005</v>
      </c>
      <c r="C24" s="17">
        <v>0.1053</v>
      </c>
      <c r="D24" s="18" t="s">
        <v>115</v>
      </c>
    </row>
    <row r="25" spans="1:4" s="19" customFormat="1" ht="16.8">
      <c r="A25" s="16" t="s">
        <v>25</v>
      </c>
      <c r="B25" s="17">
        <v>0.63160000000000005</v>
      </c>
      <c r="C25" s="17">
        <v>0.36840000000000001</v>
      </c>
      <c r="D25" s="18" t="s">
        <v>115</v>
      </c>
    </row>
    <row r="26" spans="1:4" s="19" customFormat="1" ht="16.8">
      <c r="A26" s="16" t="s">
        <v>116</v>
      </c>
      <c r="B26" s="17">
        <v>0.5</v>
      </c>
      <c r="C26" s="17">
        <v>0.5</v>
      </c>
      <c r="D26" s="18" t="s">
        <v>117</v>
      </c>
    </row>
    <row r="27" spans="1:4" s="19" customFormat="1" ht="16.8">
      <c r="A27" s="16" t="s">
        <v>16</v>
      </c>
      <c r="B27" s="17">
        <v>1</v>
      </c>
      <c r="C27" s="17">
        <v>0</v>
      </c>
      <c r="D27" s="18" t="s">
        <v>117</v>
      </c>
    </row>
    <row r="28" spans="1:4" ht="16.8">
      <c r="A28" s="15" t="s">
        <v>58</v>
      </c>
      <c r="B28" s="12"/>
      <c r="C28" s="12"/>
      <c r="D28" s="12"/>
    </row>
    <row r="29" spans="1:4" s="19" customFormat="1" ht="16.8">
      <c r="A29" s="16" t="s">
        <v>29</v>
      </c>
      <c r="B29" s="17">
        <v>0.74</v>
      </c>
      <c r="C29" s="17">
        <v>0.26</v>
      </c>
      <c r="D29" s="18" t="s">
        <v>118</v>
      </c>
    </row>
    <row r="30" spans="1:4" s="19" customFormat="1" ht="16.8">
      <c r="A30" s="16" t="s">
        <v>27</v>
      </c>
      <c r="B30" s="17">
        <v>0.86050000000000004</v>
      </c>
      <c r="C30" s="17">
        <v>0.13950000000000001</v>
      </c>
      <c r="D30" s="18" t="s">
        <v>119</v>
      </c>
    </row>
    <row r="31" spans="1:4" s="19" customFormat="1" ht="16.8">
      <c r="A31" s="16" t="s">
        <v>28</v>
      </c>
      <c r="B31" s="17">
        <v>0.94440000000000002</v>
      </c>
      <c r="C31" s="17">
        <v>5.5599999999999997E-2</v>
      </c>
      <c r="D31" s="18" t="s">
        <v>120</v>
      </c>
    </row>
    <row r="32" spans="1:4" ht="16.8">
      <c r="A32" s="15" t="s">
        <v>59</v>
      </c>
      <c r="B32" s="12"/>
      <c r="C32" s="12"/>
      <c r="D32" s="12"/>
    </row>
    <row r="33" spans="1:4" s="19" customFormat="1" ht="16.8">
      <c r="A33" s="16" t="s">
        <v>61</v>
      </c>
      <c r="B33" s="17">
        <v>0.84209999999999996</v>
      </c>
      <c r="C33" s="17">
        <v>0.15790000000000001</v>
      </c>
      <c r="D33" s="18" t="s">
        <v>121</v>
      </c>
    </row>
    <row r="34" spans="1:4" s="19" customFormat="1" ht="16.8">
      <c r="A34" s="16" t="s">
        <v>60</v>
      </c>
      <c r="B34" s="17">
        <v>0.84440000000000004</v>
      </c>
      <c r="C34" s="17">
        <v>0.15559999999999999</v>
      </c>
      <c r="D34" s="18" t="s">
        <v>122</v>
      </c>
    </row>
    <row r="35" spans="1:4" s="19" customFormat="1" ht="16.8">
      <c r="A35" s="16" t="s">
        <v>62</v>
      </c>
      <c r="B35" s="17">
        <v>0.75</v>
      </c>
      <c r="C35" s="17">
        <v>0.25</v>
      </c>
      <c r="D35" s="18" t="s">
        <v>112</v>
      </c>
    </row>
    <row r="36" spans="1:4" ht="16.8">
      <c r="A36" s="15" t="s">
        <v>51</v>
      </c>
      <c r="B36" s="12"/>
      <c r="C36" s="12"/>
      <c r="D36" s="12"/>
    </row>
    <row r="37" spans="1:4" s="19" customFormat="1" ht="16.8">
      <c r="A37" s="16" t="s">
        <v>52</v>
      </c>
      <c r="B37" s="17">
        <v>0.90910000000000002</v>
      </c>
      <c r="C37" s="17">
        <v>9.0899999999999995E-2</v>
      </c>
      <c r="D37" s="18" t="s">
        <v>123</v>
      </c>
    </row>
    <row r="38" spans="1:4" s="19" customFormat="1" ht="16.8">
      <c r="A38" s="16" t="s">
        <v>53</v>
      </c>
      <c r="B38" s="17">
        <v>0.93330000000000002</v>
      </c>
      <c r="C38" s="17">
        <v>6.6699999999999995E-2</v>
      </c>
      <c r="D38" s="18" t="s">
        <v>124</v>
      </c>
    </row>
    <row r="39" spans="1:4" s="19" customFormat="1" ht="16.8">
      <c r="A39" s="16" t="s">
        <v>54</v>
      </c>
      <c r="B39" s="17">
        <v>0.89290000000000003</v>
      </c>
      <c r="C39" s="17">
        <v>0.1071</v>
      </c>
      <c r="D39" s="18" t="s">
        <v>125</v>
      </c>
    </row>
    <row r="40" spans="1:4" s="19" customFormat="1" ht="16.8">
      <c r="A40" s="16" t="s">
        <v>55</v>
      </c>
      <c r="B40" s="17">
        <v>0.78669999999999995</v>
      </c>
      <c r="C40" s="17">
        <v>0.21329999999999999</v>
      </c>
      <c r="D40" s="18" t="s">
        <v>126</v>
      </c>
    </row>
    <row r="41" spans="1:4" ht="16.8">
      <c r="A41" s="15" t="s">
        <v>63</v>
      </c>
      <c r="B41" s="12"/>
      <c r="C41" s="12"/>
      <c r="D41" s="12"/>
    </row>
    <row r="42" spans="1:4" s="19" customFormat="1" ht="16.8">
      <c r="A42" s="16" t="s">
        <v>64</v>
      </c>
      <c r="B42" s="17">
        <v>0.77780000000000005</v>
      </c>
      <c r="C42" s="17">
        <v>0.22220000000000001</v>
      </c>
      <c r="D42" s="18" t="s">
        <v>127</v>
      </c>
    </row>
    <row r="43" spans="1:4" s="19" customFormat="1" ht="16.8">
      <c r="A43" s="16" t="s">
        <v>65</v>
      </c>
      <c r="B43" s="17">
        <v>0.95450000000000002</v>
      </c>
      <c r="C43" s="17">
        <v>4.5499999999999999E-2</v>
      </c>
      <c r="D43" s="18" t="s">
        <v>128</v>
      </c>
    </row>
    <row r="44" spans="1:4" s="19" customFormat="1" ht="16.8">
      <c r="A44" s="16" t="s">
        <v>66</v>
      </c>
      <c r="B44" s="17">
        <v>0.90620000000000001</v>
      </c>
      <c r="C44" s="17">
        <v>9.3799999999999994E-2</v>
      </c>
      <c r="D44" s="18" t="s">
        <v>129</v>
      </c>
    </row>
    <row r="45" spans="1:4" s="19" customFormat="1" ht="16.8">
      <c r="A45" s="16" t="s">
        <v>67</v>
      </c>
      <c r="B45" s="17">
        <v>0.94440000000000002</v>
      </c>
      <c r="C45" s="17">
        <v>5.5599999999999997E-2</v>
      </c>
      <c r="D45" s="18" t="s">
        <v>130</v>
      </c>
    </row>
    <row r="46" spans="1:4" s="19" customFormat="1" ht="16.8">
      <c r="A46" s="16" t="s">
        <v>68</v>
      </c>
      <c r="B46" s="17">
        <v>0.72729999999999995</v>
      </c>
      <c r="C46" s="17">
        <v>0.2727</v>
      </c>
      <c r="D46" s="18" t="s">
        <v>123</v>
      </c>
    </row>
    <row r="47" spans="1:4" s="19" customFormat="1" ht="16.8">
      <c r="A47" s="16" t="s">
        <v>69</v>
      </c>
      <c r="B47" s="17">
        <v>1</v>
      </c>
      <c r="C47" s="17">
        <v>0</v>
      </c>
      <c r="D47" s="18" t="s">
        <v>107</v>
      </c>
    </row>
    <row r="48" spans="1:4" s="19" customFormat="1" ht="16.8">
      <c r="A48" s="16" t="s">
        <v>70</v>
      </c>
      <c r="B48" s="17">
        <v>0.64290000000000003</v>
      </c>
      <c r="C48" s="17">
        <v>0.35709999999999997</v>
      </c>
      <c r="D48" s="18" t="s">
        <v>131</v>
      </c>
    </row>
    <row r="49" spans="1:5" s="19" customFormat="1" ht="16.8">
      <c r="A49" s="16" t="s">
        <v>71</v>
      </c>
      <c r="B49" s="17">
        <v>0.33329999999999999</v>
      </c>
      <c r="C49" s="17">
        <v>0.66669999999999996</v>
      </c>
      <c r="D49" s="18" t="s">
        <v>132</v>
      </c>
    </row>
    <row r="50" spans="1:5" s="19" customFormat="1" ht="16.8">
      <c r="A50" s="20" t="s">
        <v>16</v>
      </c>
      <c r="B50" s="21">
        <v>0.6</v>
      </c>
      <c r="C50" s="21">
        <f t="shared" ref="C50" si="0">1-B50</f>
        <v>0.4</v>
      </c>
      <c r="D50" s="22" t="s">
        <v>100</v>
      </c>
      <c r="E50" s="23"/>
    </row>
    <row r="51" spans="1:5" ht="16.8">
      <c r="A51" s="15" t="s">
        <v>72</v>
      </c>
      <c r="B51" s="12"/>
      <c r="C51" s="12"/>
      <c r="D51" s="12"/>
    </row>
    <row r="52" spans="1:5" s="19" customFormat="1" ht="16.8">
      <c r="A52" s="16" t="s">
        <v>73</v>
      </c>
      <c r="B52" s="17">
        <v>0.75339999999999996</v>
      </c>
      <c r="C52" s="17">
        <v>0.24660000000000001</v>
      </c>
      <c r="D52" s="18" t="s">
        <v>133</v>
      </c>
    </row>
    <row r="53" spans="1:5" s="19" customFormat="1" ht="16.8">
      <c r="A53" s="16" t="s">
        <v>62</v>
      </c>
      <c r="B53" s="17">
        <v>0.94640000000000002</v>
      </c>
      <c r="C53" s="17">
        <v>5.3600000000000002E-2</v>
      </c>
      <c r="D53" s="18" t="s">
        <v>134</v>
      </c>
    </row>
    <row r="54" spans="1:5" ht="16.8">
      <c r="A54" s="15" t="s">
        <v>135</v>
      </c>
      <c r="B54" s="12"/>
      <c r="C54" s="12"/>
      <c r="D54" s="12"/>
    </row>
    <row r="55" spans="1:5" s="19" customFormat="1" ht="16.8">
      <c r="A55" s="16" t="s">
        <v>75</v>
      </c>
      <c r="B55" s="17">
        <v>0.95</v>
      </c>
      <c r="C55" s="17">
        <v>0.05</v>
      </c>
      <c r="D55" s="18" t="s">
        <v>114</v>
      </c>
    </row>
    <row r="56" spans="1:5" s="19" customFormat="1" ht="16.8">
      <c r="A56" s="16" t="s">
        <v>76</v>
      </c>
      <c r="B56" s="17">
        <v>0.77380000000000004</v>
      </c>
      <c r="C56" s="17">
        <v>0.22620000000000001</v>
      </c>
      <c r="D56" s="18" t="s">
        <v>136</v>
      </c>
    </row>
    <row r="57" spans="1:5" s="19" customFormat="1" ht="16.8">
      <c r="A57" s="24" t="s">
        <v>16</v>
      </c>
      <c r="B57" s="21">
        <v>1</v>
      </c>
      <c r="C57" s="21">
        <f t="shared" ref="C57" si="1">1-B57</f>
        <v>0</v>
      </c>
      <c r="D57" s="22" t="s">
        <v>100</v>
      </c>
      <c r="E57" s="23"/>
    </row>
  </sheetData>
  <pageMargins left="0.7" right="0.7" top="0.75" bottom="0.75" header="0.3" footer="0.3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B7C0E-7391-43D3-93E4-A604FD0D1D96}">
  <dimension ref="A1:C51"/>
  <sheetViews>
    <sheetView topLeftCell="A28" zoomScaleNormal="100" workbookViewId="0">
      <selection activeCell="R29" sqref="R29"/>
    </sheetView>
  </sheetViews>
  <sheetFormatPr defaultRowHeight="13.8"/>
  <cols>
    <col min="1" max="1" width="25" customWidth="1"/>
    <col min="2" max="2" width="9.19921875" bestFit="1" customWidth="1"/>
    <col min="3" max="3" width="7.59765625" customWidth="1"/>
  </cols>
  <sheetData>
    <row r="1" spans="1:3">
      <c r="A1" s="1" t="s">
        <v>39</v>
      </c>
      <c r="B1" s="1" t="s">
        <v>38</v>
      </c>
      <c r="C1" s="1" t="s">
        <v>2</v>
      </c>
    </row>
    <row r="2" spans="1:3">
      <c r="A2" s="6" t="s">
        <v>31</v>
      </c>
      <c r="B2" s="2"/>
    </row>
    <row r="3" spans="1:3">
      <c r="A3" s="3" t="s">
        <v>32</v>
      </c>
      <c r="B3" s="2">
        <v>0.38</v>
      </c>
      <c r="C3">
        <v>41</v>
      </c>
    </row>
    <row r="4" spans="1:3">
      <c r="A4" s="3" t="s">
        <v>33</v>
      </c>
      <c r="B4" s="2">
        <v>0.36099999999999999</v>
      </c>
      <c r="C4">
        <v>39</v>
      </c>
    </row>
    <row r="5" spans="1:3">
      <c r="A5" s="3" t="s">
        <v>40</v>
      </c>
      <c r="B5" s="2">
        <v>0.157</v>
      </c>
      <c r="C5">
        <v>17</v>
      </c>
    </row>
    <row r="6" spans="1:3">
      <c r="A6" s="3" t="s">
        <v>34</v>
      </c>
      <c r="B6" s="2">
        <v>5.5599999999999997E-2</v>
      </c>
      <c r="C6">
        <v>6</v>
      </c>
    </row>
    <row r="7" spans="1:3">
      <c r="A7" s="3" t="s">
        <v>35</v>
      </c>
      <c r="B7" s="2">
        <v>2.7799999999999998E-2</v>
      </c>
      <c r="C7">
        <v>3</v>
      </c>
    </row>
    <row r="8" spans="1:3">
      <c r="A8" s="3" t="s">
        <v>36</v>
      </c>
      <c r="B8" s="2">
        <v>9.2999999999999992E-3</v>
      </c>
      <c r="C8">
        <v>1</v>
      </c>
    </row>
    <row r="9" spans="1:3">
      <c r="A9" s="3" t="s">
        <v>37</v>
      </c>
      <c r="B9" s="2">
        <v>9.2999999999999992E-3</v>
      </c>
      <c r="C9">
        <v>1</v>
      </c>
    </row>
    <row r="10" spans="1:3">
      <c r="A10" s="6" t="s">
        <v>41</v>
      </c>
    </row>
    <row r="11" spans="1:3">
      <c r="A11" s="3" t="s">
        <v>42</v>
      </c>
      <c r="B11" s="2">
        <v>0.97199999999999998</v>
      </c>
      <c r="C11">
        <v>105</v>
      </c>
    </row>
    <row r="12" spans="1:3">
      <c r="A12" s="3" t="s">
        <v>43</v>
      </c>
      <c r="B12" s="2">
        <v>0.27800000000000002</v>
      </c>
      <c r="C12">
        <v>3</v>
      </c>
    </row>
    <row r="13" spans="1:3">
      <c r="A13" s="6" t="s">
        <v>49</v>
      </c>
    </row>
    <row r="14" spans="1:3">
      <c r="A14" s="3" t="s">
        <v>44</v>
      </c>
      <c r="B14" s="2">
        <v>0.39810000000000001</v>
      </c>
      <c r="C14">
        <v>43</v>
      </c>
    </row>
    <row r="15" spans="1:3">
      <c r="A15" s="3" t="s">
        <v>45</v>
      </c>
      <c r="B15" s="2">
        <v>0.26860000000000001</v>
      </c>
      <c r="C15">
        <v>29</v>
      </c>
    </row>
    <row r="16" spans="1:3">
      <c r="A16" s="3" t="s">
        <v>46</v>
      </c>
      <c r="B16" s="2">
        <v>0.15740000000000001</v>
      </c>
      <c r="C16">
        <v>17</v>
      </c>
    </row>
    <row r="17" spans="1:3">
      <c r="A17" s="3" t="s">
        <v>47</v>
      </c>
      <c r="B17" s="2">
        <v>9.2600000000000002E-2</v>
      </c>
      <c r="C17">
        <v>10</v>
      </c>
    </row>
    <row r="18" spans="1:3">
      <c r="A18" s="3" t="s">
        <v>50</v>
      </c>
      <c r="B18" s="2">
        <v>8.3299999999999999E-2</v>
      </c>
      <c r="C18">
        <v>9</v>
      </c>
    </row>
    <row r="19" spans="1:3">
      <c r="A19" s="6" t="s">
        <v>49</v>
      </c>
    </row>
    <row r="28" spans="1:3">
      <c r="B28" t="s">
        <v>42</v>
      </c>
      <c r="C28" s="6" t="s">
        <v>48</v>
      </c>
    </row>
    <row r="29" spans="1:3">
      <c r="A29" t="s">
        <v>41</v>
      </c>
      <c r="B29" s="2">
        <v>0.97199999999999998</v>
      </c>
      <c r="C29" s="2">
        <v>0.27800000000000002</v>
      </c>
    </row>
    <row r="35" spans="1:3">
      <c r="A35" t="s">
        <v>137</v>
      </c>
      <c r="B35" t="s">
        <v>138</v>
      </c>
      <c r="C35" t="s">
        <v>139</v>
      </c>
    </row>
    <row r="36" spans="1:3">
      <c r="A36" t="s">
        <v>140</v>
      </c>
      <c r="B36">
        <v>5</v>
      </c>
      <c r="C36">
        <v>29.41</v>
      </c>
    </row>
    <row r="37" spans="1:3">
      <c r="A37" t="s">
        <v>141</v>
      </c>
      <c r="B37">
        <v>3</v>
      </c>
      <c r="C37">
        <v>17.649999999999999</v>
      </c>
    </row>
    <row r="38" spans="1:3">
      <c r="A38" t="s">
        <v>142</v>
      </c>
      <c r="B38">
        <v>8</v>
      </c>
      <c r="C38">
        <v>47.06</v>
      </c>
    </row>
    <row r="39" spans="1:3">
      <c r="A39" t="s">
        <v>153</v>
      </c>
      <c r="B39">
        <v>6</v>
      </c>
      <c r="C39">
        <v>35.29</v>
      </c>
    </row>
    <row r="40" spans="1:3">
      <c r="A40" t="s">
        <v>143</v>
      </c>
      <c r="B40">
        <v>2</v>
      </c>
      <c r="C40">
        <v>11.76</v>
      </c>
    </row>
    <row r="41" spans="1:3">
      <c r="A41" t="s">
        <v>151</v>
      </c>
      <c r="B41">
        <v>9</v>
      </c>
      <c r="C41">
        <v>52.94</v>
      </c>
    </row>
    <row r="42" spans="1:3">
      <c r="A42" t="s">
        <v>152</v>
      </c>
      <c r="B42">
        <v>5</v>
      </c>
      <c r="C42">
        <v>29.41</v>
      </c>
    </row>
    <row r="45" spans="1:3">
      <c r="A45" t="s">
        <v>144</v>
      </c>
      <c r="B45" t="s">
        <v>138</v>
      </c>
      <c r="C45" t="s">
        <v>139</v>
      </c>
    </row>
    <row r="46" spans="1:3">
      <c r="A46" t="s">
        <v>145</v>
      </c>
      <c r="B46">
        <v>8</v>
      </c>
      <c r="C46">
        <v>21.62</v>
      </c>
    </row>
    <row r="47" spans="1:3">
      <c r="A47" t="s">
        <v>146</v>
      </c>
      <c r="B47">
        <v>14</v>
      </c>
      <c r="C47">
        <v>37.840000000000003</v>
      </c>
    </row>
    <row r="48" spans="1:3">
      <c r="A48" t="s">
        <v>147</v>
      </c>
      <c r="B48">
        <v>12</v>
      </c>
      <c r="C48">
        <v>32.43</v>
      </c>
    </row>
    <row r="49" spans="1:3">
      <c r="A49" t="s">
        <v>148</v>
      </c>
      <c r="B49">
        <v>6</v>
      </c>
      <c r="C49">
        <v>16.22</v>
      </c>
    </row>
    <row r="50" spans="1:3">
      <c r="A50" t="s">
        <v>149</v>
      </c>
      <c r="B50">
        <v>8</v>
      </c>
      <c r="C50">
        <v>21.62</v>
      </c>
    </row>
    <row r="51" spans="1:3">
      <c r="A51" t="s">
        <v>150</v>
      </c>
      <c r="B51">
        <v>9</v>
      </c>
      <c r="C51">
        <v>24.32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D9409-DEEB-4B78-95FB-5D2645F986B7}">
  <dimension ref="A2:N26"/>
  <sheetViews>
    <sheetView zoomScale="85" zoomScaleNormal="85" workbookViewId="0">
      <selection activeCell="B30" sqref="B30"/>
    </sheetView>
  </sheetViews>
  <sheetFormatPr defaultRowHeight="13.8"/>
  <cols>
    <col min="1" max="1" width="15.8984375" bestFit="1" customWidth="1"/>
    <col min="2" max="3" width="9" bestFit="1" customWidth="1"/>
    <col min="4" max="4" width="13.5" bestFit="1" customWidth="1"/>
  </cols>
  <sheetData>
    <row r="2" spans="1:2">
      <c r="A2" t="s">
        <v>44</v>
      </c>
      <c r="B2">
        <v>43</v>
      </c>
    </row>
    <row r="3" spans="1:2">
      <c r="A3" t="s">
        <v>45</v>
      </c>
      <c r="B3">
        <v>29</v>
      </c>
    </row>
    <row r="4" spans="1:2">
      <c r="A4" t="s">
        <v>46</v>
      </c>
      <c r="B4">
        <v>17</v>
      </c>
    </row>
    <row r="5" spans="1:2">
      <c r="A5" t="s">
        <v>47</v>
      </c>
      <c r="B5">
        <v>10</v>
      </c>
    </row>
    <row r="6" spans="1:2">
      <c r="A6" t="s">
        <v>50</v>
      </c>
      <c r="B6">
        <v>9</v>
      </c>
    </row>
    <row r="19" spans="1:14">
      <c r="A19" t="s">
        <v>77</v>
      </c>
      <c r="B19" t="s">
        <v>75</v>
      </c>
      <c r="C19" t="s">
        <v>76</v>
      </c>
      <c r="D19" t="s">
        <v>37</v>
      </c>
    </row>
    <row r="20" spans="1:14">
      <c r="A20" s="11" t="s">
        <v>84</v>
      </c>
      <c r="B20">
        <v>32</v>
      </c>
      <c r="C20">
        <v>44</v>
      </c>
      <c r="D20">
        <v>32</v>
      </c>
    </row>
    <row r="21" spans="1:14">
      <c r="A21" s="11" t="s">
        <v>78</v>
      </c>
      <c r="B21">
        <v>49</v>
      </c>
      <c r="C21">
        <v>38</v>
      </c>
      <c r="D21">
        <v>21</v>
      </c>
    </row>
    <row r="22" spans="1:14">
      <c r="A22" s="11" t="s">
        <v>79</v>
      </c>
      <c r="B22">
        <v>93</v>
      </c>
      <c r="C22">
        <v>9</v>
      </c>
      <c r="D22">
        <v>6</v>
      </c>
    </row>
    <row r="23" spans="1:14">
      <c r="A23" s="11" t="s">
        <v>80</v>
      </c>
      <c r="B23">
        <v>37</v>
      </c>
      <c r="C23">
        <v>47</v>
      </c>
      <c r="D23">
        <v>24</v>
      </c>
    </row>
    <row r="24" spans="1:14">
      <c r="A24" s="11" t="s">
        <v>81</v>
      </c>
      <c r="B24">
        <v>25</v>
      </c>
      <c r="C24">
        <v>58</v>
      </c>
      <c r="D24">
        <v>52</v>
      </c>
    </row>
    <row r="25" spans="1:14">
      <c r="A25" s="11" t="s">
        <v>82</v>
      </c>
      <c r="B25">
        <v>14</v>
      </c>
      <c r="C25">
        <v>51</v>
      </c>
      <c r="D25">
        <v>43</v>
      </c>
      <c r="N25" t="s">
        <v>85</v>
      </c>
    </row>
    <row r="26" spans="1:14">
      <c r="A26" s="11" t="s">
        <v>83</v>
      </c>
      <c r="B26">
        <v>16</v>
      </c>
      <c r="C26">
        <v>67</v>
      </c>
      <c r="D26">
        <v>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D35BF-2499-4A16-89A7-F2FF1B62CADE}">
  <dimension ref="A1:E18"/>
  <sheetViews>
    <sheetView workbookViewId="0">
      <selection activeCell="B23" sqref="B23"/>
    </sheetView>
  </sheetViews>
  <sheetFormatPr defaultRowHeight="13.8"/>
  <cols>
    <col min="2" max="2" width="23.59765625" bestFit="1" customWidth="1"/>
  </cols>
  <sheetData>
    <row r="1" spans="1:5">
      <c r="C1" t="s">
        <v>94</v>
      </c>
      <c r="D1" t="s">
        <v>93</v>
      </c>
      <c r="E1" t="s">
        <v>92</v>
      </c>
    </row>
    <row r="2" spans="1:5">
      <c r="A2">
        <v>6</v>
      </c>
      <c r="B2" t="s">
        <v>91</v>
      </c>
      <c r="C2" s="2">
        <v>0.6744</v>
      </c>
      <c r="D2" s="2">
        <v>0.31780000000000003</v>
      </c>
      <c r="E2" s="2">
        <v>7.8000000000000005E-3</v>
      </c>
    </row>
    <row r="3" spans="1:5">
      <c r="A3">
        <v>5</v>
      </c>
      <c r="B3" t="s">
        <v>90</v>
      </c>
      <c r="C3" s="2">
        <v>0.60470000000000002</v>
      </c>
      <c r="D3" s="2">
        <v>0.31780000000000003</v>
      </c>
      <c r="E3" s="2">
        <v>7.7499999999999999E-2</v>
      </c>
    </row>
    <row r="4" spans="1:5">
      <c r="A4">
        <v>4</v>
      </c>
      <c r="B4" t="s">
        <v>89</v>
      </c>
      <c r="C4" s="2">
        <v>0.68989999999999996</v>
      </c>
      <c r="D4" s="2">
        <v>0.2868</v>
      </c>
      <c r="E4" s="2">
        <v>2.3300000000000001E-2</v>
      </c>
    </row>
    <row r="5" spans="1:5">
      <c r="A5">
        <v>3</v>
      </c>
      <c r="B5" t="s">
        <v>88</v>
      </c>
      <c r="C5" s="2">
        <v>0.7752</v>
      </c>
      <c r="D5" s="2">
        <v>0.21710000000000002</v>
      </c>
      <c r="E5" s="2">
        <v>7.8000000000000005E-3</v>
      </c>
    </row>
    <row r="6" spans="1:5">
      <c r="A6">
        <v>2</v>
      </c>
      <c r="B6" t="s">
        <v>87</v>
      </c>
      <c r="C6" s="2">
        <v>0.72870000000000001</v>
      </c>
      <c r="D6" s="2">
        <v>0.25579999999999997</v>
      </c>
      <c r="E6" s="2">
        <v>1.5500000000000002E-2</v>
      </c>
    </row>
    <row r="7" spans="1:5">
      <c r="A7">
        <v>1</v>
      </c>
      <c r="B7" t="s">
        <v>86</v>
      </c>
      <c r="C7" s="2">
        <v>0.59689999999999999</v>
      </c>
      <c r="D7" s="2">
        <v>0.37979999999999997</v>
      </c>
      <c r="E7" s="2">
        <v>2.3300000000000001E-2</v>
      </c>
    </row>
    <row r="15" spans="1:5">
      <c r="A15">
        <v>4</v>
      </c>
      <c r="B15" t="s">
        <v>98</v>
      </c>
      <c r="C15" s="2">
        <v>0.54930000000000001</v>
      </c>
      <c r="D15" s="2">
        <v>0.38030000000000003</v>
      </c>
      <c r="E15" s="2">
        <v>7.0400000000000004E-2</v>
      </c>
    </row>
    <row r="16" spans="1:5">
      <c r="A16">
        <v>3</v>
      </c>
      <c r="B16" t="s">
        <v>97</v>
      </c>
      <c r="C16" s="2">
        <v>0.52110000000000001</v>
      </c>
      <c r="D16" s="2">
        <v>0.42249999999999999</v>
      </c>
      <c r="E16" s="2">
        <v>5.6300000000000003E-2</v>
      </c>
    </row>
    <row r="17" spans="1:5">
      <c r="A17">
        <v>2</v>
      </c>
      <c r="B17" t="s">
        <v>96</v>
      </c>
      <c r="C17" s="2">
        <v>0.53520000000000001</v>
      </c>
      <c r="D17" s="2">
        <v>0.39439999999999997</v>
      </c>
      <c r="E17" s="2">
        <v>7.0400000000000004E-2</v>
      </c>
    </row>
    <row r="18" spans="1:5">
      <c r="A18">
        <v>1</v>
      </c>
      <c r="B18" t="s">
        <v>95</v>
      </c>
      <c r="C18" s="2">
        <v>0.43659999999999999</v>
      </c>
      <c r="D18" s="2">
        <v>0.50700000000000001</v>
      </c>
      <c r="E18" s="2">
        <v>5.6300000000000003E-2</v>
      </c>
    </row>
  </sheetData>
  <sortState xmlns:xlrd2="http://schemas.microsoft.com/office/spreadsheetml/2017/richdata2" ref="A15:E18">
    <sortCondition descending="1" ref="A15:A1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demography</vt:lpstr>
      <vt:lpstr>formated</vt:lpstr>
      <vt:lpstr>enrolment</vt:lpstr>
      <vt:lpstr>awareness</vt:lpstr>
      <vt:lpstr>hospitalisation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Ritobhash Daw</dc:creator>
  <cp:lastModifiedBy>Ritobhash Daw</cp:lastModifiedBy>
  <dcterms:created xsi:type="dcterms:W3CDTF">2024-11-04T10:41:38Z</dcterms:created>
  <dcterms:modified xsi:type="dcterms:W3CDTF">2025-02-11T20:48:06Z</dcterms:modified>
</cp:coreProperties>
</file>